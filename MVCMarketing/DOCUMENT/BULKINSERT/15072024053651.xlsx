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Sheet1!$A$1:$P$288</definedName>
  </definedNames>
  <calcPr calcId="152511"/>
</workbook>
</file>

<file path=xl/calcChain.xml><?xml version="1.0" encoding="utf-8"?>
<calcChain xmlns="http://schemas.openxmlformats.org/spreadsheetml/2006/main">
  <c r="N288" i="1" l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N159" i="1"/>
  <c r="O159" i="1" s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O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95" i="1"/>
  <c r="O95" i="1" s="1"/>
  <c r="N94" i="1"/>
  <c r="O94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  <c r="O2" i="1" s="1"/>
</calcChain>
</file>

<file path=xl/sharedStrings.xml><?xml version="1.0" encoding="utf-8"?>
<sst xmlns="http://schemas.openxmlformats.org/spreadsheetml/2006/main" count="1738" uniqueCount="508">
  <si>
    <t>Code</t>
  </si>
  <si>
    <t>SHREE SAI ELECTRICALS(SAYAN - ISHWARBHAI) NEW</t>
  </si>
  <si>
    <t>CTG18-85389000</t>
  </si>
  <si>
    <t>CHARGE TYPE - 85389000</t>
  </si>
  <si>
    <t>GAYATRI ELECTRICALS (SACHIN)</t>
  </si>
  <si>
    <t>CTG-85371000</t>
  </si>
  <si>
    <t>CHARGE TYPE - 85371000</t>
  </si>
  <si>
    <t>SHREENATHJI ELECTRIC STORE(SACHIN)</t>
  </si>
  <si>
    <t>PATIDAR ELECTRICALS</t>
  </si>
  <si>
    <t>VISHAL TRADERS</t>
  </si>
  <si>
    <t>JAYANT ELECTRIC STORES</t>
  </si>
  <si>
    <t>SHREE RAJ ELECTRICALS (JAYBHAI)</t>
  </si>
  <si>
    <t>UMIYA ELECTRONICS (PANDESARA)</t>
  </si>
  <si>
    <t>SANJAY FAN PARTS</t>
  </si>
  <si>
    <t>ASIAN ELECTRO HOUSE</t>
  </si>
  <si>
    <t>VISHAL MARKETING (DINDOLI)</t>
  </si>
  <si>
    <t>CTG18-85366110</t>
  </si>
  <si>
    <t>CHARGE TYPE - 85366110</t>
  </si>
  <si>
    <t>CHIRAG ELECTRIC (BHESTAN)</t>
  </si>
  <si>
    <t>SHREE KHODIYAR ELECTRIC(MANISH BHAI)</t>
  </si>
  <si>
    <t>JAGDAMBA ELECTRIC AND LIGHT HOUSE</t>
  </si>
  <si>
    <t>ASHISH ELECTRICALS (KADODARA)</t>
  </si>
  <si>
    <t>RADHE ELECTRICAL</t>
  </si>
  <si>
    <t>MAYUR ELECTRIC &amp; ELECTRONIC</t>
  </si>
  <si>
    <t>MARSHAL ELECTRICALS</t>
  </si>
  <si>
    <t>RAJESH ELECTRIC</t>
  </si>
  <si>
    <t>CTG18-85365020</t>
  </si>
  <si>
    <t>CHARGE TYPE - 85365020</t>
  </si>
  <si>
    <t>KINNARY ELECTRICALS</t>
  </si>
  <si>
    <t>SHREE RAM ELECTRICALS (MOTA VARACHHA)</t>
  </si>
  <si>
    <t>SHREE SAI ELECTRICALS (RAVIBHAI)</t>
  </si>
  <si>
    <t>HEENA ELECTRICALES</t>
  </si>
  <si>
    <t>DIAMOND ELECTRICAL AND LIGHT HOUSE (VANSDA)</t>
  </si>
  <si>
    <t>SHREE UMIYA ELECTRICALS (NEW)</t>
  </si>
  <si>
    <t>KRISHNA ELECTRICALS (JATINBHAI)</t>
  </si>
  <si>
    <t>MAHAVIR LIGHT HOUSE (BHESTAN)</t>
  </si>
  <si>
    <t>NEW SWASTIC ELECTRICALS</t>
  </si>
  <si>
    <t>S R SALES (DINDOLI)</t>
  </si>
  <si>
    <t>SHRUTI ELECTRICALS</t>
  </si>
  <si>
    <t>MANSI ELECTRICALS</t>
  </si>
  <si>
    <t>CTG18-39174000</t>
  </si>
  <si>
    <t>CHARGE TYPE - 39174000</t>
  </si>
  <si>
    <t>LAXMI ELECTRIC STORE (GOPIPURA)</t>
  </si>
  <si>
    <t>ANAND ELECTRIC (ADAJAN)</t>
  </si>
  <si>
    <t>ANAS ELECTRICALS</t>
  </si>
  <si>
    <t>ARIHANT ELECTRICALS(SACHIN)</t>
  </si>
  <si>
    <t>ARUN ELECTRICALS</t>
  </si>
  <si>
    <t>NIRVA ELECTRIC &amp; LIGHT HOUSE</t>
  </si>
  <si>
    <t>SHREEJI ELECTRICALS (SACHIN)</t>
  </si>
  <si>
    <t>BHAGWATI ELECTRICALS</t>
  </si>
  <si>
    <t>AAKAR ELECTRICALS</t>
  </si>
  <si>
    <t>DIVINE ELECTRICALS</t>
  </si>
  <si>
    <t>VISHAL ELECTRICALS (GOPIPURA)</t>
  </si>
  <si>
    <t>S.G.TRADERS</t>
  </si>
  <si>
    <t>MODERN ELECTRIC STORES</t>
  </si>
  <si>
    <t>NEW INDIA ELECTRICALS (NEW A/C)</t>
  </si>
  <si>
    <t>QADRI ELECTRICALS (NANPURA)</t>
  </si>
  <si>
    <t>HARI OM ELECTRICALS (ALTHAN-BHATAR)</t>
  </si>
  <si>
    <t>MAHAVIR ELECTRICALS (PANDESARA)</t>
  </si>
  <si>
    <t>NEW MAHALAXMI ELECTRICALS</t>
  </si>
  <si>
    <t>CTG-39235090</t>
  </si>
  <si>
    <t>CHARGE TYPE - 39235090</t>
  </si>
  <si>
    <t>LAXMI ELECTRIC &amp; SWITCH BOARD</t>
  </si>
  <si>
    <t>NAKODA ELECTRIC</t>
  </si>
  <si>
    <t>GANESH ELECTRICALS AND WORKS</t>
  </si>
  <si>
    <t>SWASTIK ELECTRIC WORKS (SACHIN)</t>
  </si>
  <si>
    <t>JAY KHODIYAR ELECTRICALS (HASMUKHBHAI)</t>
  </si>
  <si>
    <t>SHARDA ELECTRICALS</t>
  </si>
  <si>
    <t>GILITWALA ELECTRICALS</t>
  </si>
  <si>
    <t>HINDUSTAN TRADERS (BILIMORA)</t>
  </si>
  <si>
    <t>BHAGYODAY ELECTRICALS &amp; LIGHTS</t>
  </si>
  <si>
    <t>ZENITH ENTERPRISE</t>
  </si>
  <si>
    <t>SAGAR ELECTRICALS AND FILTER HOUSE (MOTA VARACHHA)</t>
  </si>
  <si>
    <t>SHWETAYAN ELECTRICS &amp; SWITCH BOARD</t>
  </si>
  <si>
    <t>DIYA ELECTRIC</t>
  </si>
  <si>
    <t>J.R.ENTERPRISE</t>
  </si>
  <si>
    <t>JASH ELECTRICALS</t>
  </si>
  <si>
    <t>KASHISH ELECTRICALS AND ELECTRONICS</t>
  </si>
  <si>
    <t>KRISHNA ELECTRICALS (KAPODARA UTRAN)</t>
  </si>
  <si>
    <t>KRISHNA ELECTRICALS AND SWITCHBOARD</t>
  </si>
  <si>
    <t>MURLIDHAR ELECTRICALS</t>
  </si>
  <si>
    <t>SANJAY &amp; CO.</t>
  </si>
  <si>
    <t>VIJAY ELECTRIC</t>
  </si>
  <si>
    <t>KRISHNA ENTERPRISE - SARTHANA (RAVIBHAI)</t>
  </si>
  <si>
    <t>CANCEL BILL</t>
  </si>
  <si>
    <t>MAHAVIR TRADERS</t>
  </si>
  <si>
    <t>SHREE SAINATH ELECTRICALS AND MUSIC CENTRE</t>
  </si>
  <si>
    <t>SNEHA AGENCIES</t>
  </si>
  <si>
    <t>YASH ENTERPRISE</t>
  </si>
  <si>
    <t>KRISHNA ELECTRIC (NANA VARACHHA) DHAVALBHAI</t>
  </si>
  <si>
    <t>CHAITALI ENTERPRISE</t>
  </si>
  <si>
    <t>ANANDDHARA ELECTRICALS</t>
  </si>
  <si>
    <t>GAYATRI ELECTRICALS</t>
  </si>
  <si>
    <t>MAYUR ELECTRICALS</t>
  </si>
  <si>
    <t>ARIHANT STATIONERS (BARDOLI)</t>
  </si>
  <si>
    <t>HARI OM ELECTRICALS</t>
  </si>
  <si>
    <t>BADSHAH ELECTRICALS &amp; WATCH(UDHNA)</t>
  </si>
  <si>
    <t>DIPIKA LIGHTS</t>
  </si>
  <si>
    <t>PARESH ELECTRICALS</t>
  </si>
  <si>
    <t>ROYAL ELECTRIC (RANKUVA)</t>
  </si>
  <si>
    <t>OM ELECTRICALS (KATARGAM)</t>
  </si>
  <si>
    <t>BHAGYODAY ELECTRICALS</t>
  </si>
  <si>
    <t>BALAJI ELECTRICALS</t>
  </si>
  <si>
    <t>SHREE RANG ELECTRICALS(NAVSARI)</t>
  </si>
  <si>
    <t>SHREE GAYATRI ELECTRICALS</t>
  </si>
  <si>
    <t>VIJAYLAXMI ELECTRICALS</t>
  </si>
  <si>
    <t>CTG18-854411</t>
  </si>
  <si>
    <t>CHARGE TYPE - 854411</t>
  </si>
  <si>
    <t>CTG-85469090</t>
  </si>
  <si>
    <t>CHARGE TYPE 85469090</t>
  </si>
  <si>
    <t>D-0004</t>
  </si>
  <si>
    <t>D-0015</t>
  </si>
  <si>
    <t>D-0016</t>
  </si>
  <si>
    <t>D-0017</t>
  </si>
  <si>
    <t>D-0026</t>
  </si>
  <si>
    <t>D-0029</t>
  </si>
  <si>
    <t>D-0032</t>
  </si>
  <si>
    <t>D-0034</t>
  </si>
  <si>
    <t>D-0036</t>
  </si>
  <si>
    <t>D-0040</t>
  </si>
  <si>
    <t>D-0042</t>
  </si>
  <si>
    <t>D-0046</t>
  </si>
  <si>
    <t>D-0047</t>
  </si>
  <si>
    <t>D-0048</t>
  </si>
  <si>
    <t>D-0055</t>
  </si>
  <si>
    <t>D-0059</t>
  </si>
  <si>
    <t>D-0062</t>
  </si>
  <si>
    <t>D-0072</t>
  </si>
  <si>
    <t>D-0074</t>
  </si>
  <si>
    <t>D-0076</t>
  </si>
  <si>
    <t>D-0077</t>
  </si>
  <si>
    <t>D-0085</t>
  </si>
  <si>
    <t>D-0087</t>
  </si>
  <si>
    <t>D-0088</t>
  </si>
  <si>
    <t>D-0090</t>
  </si>
  <si>
    <t>D-0098</t>
  </si>
  <si>
    <t>D-0099</t>
  </si>
  <si>
    <t>D-0100</t>
  </si>
  <si>
    <t>D-0102</t>
  </si>
  <si>
    <t>D-0105</t>
  </si>
  <si>
    <t>D-0106</t>
  </si>
  <si>
    <t>D-0109</t>
  </si>
  <si>
    <t>D-0114</t>
  </si>
  <si>
    <t>D-0117</t>
  </si>
  <si>
    <t>D-0124</t>
  </si>
  <si>
    <t>D-0129</t>
  </si>
  <si>
    <t>D-0131</t>
  </si>
  <si>
    <t>D-0135</t>
  </si>
  <si>
    <t>D-0136</t>
  </si>
  <si>
    <t>D-0137</t>
  </si>
  <si>
    <t>D-0138</t>
  </si>
  <si>
    <t>D-0141</t>
  </si>
  <si>
    <t>D-0143</t>
  </si>
  <si>
    <t>D-0150</t>
  </si>
  <si>
    <t>D-0151</t>
  </si>
  <si>
    <t>D-0152</t>
  </si>
  <si>
    <t>D-0156</t>
  </si>
  <si>
    <t>D-0157</t>
  </si>
  <si>
    <t>D-0160</t>
  </si>
  <si>
    <t>D-0161</t>
  </si>
  <si>
    <t>D-0164</t>
  </si>
  <si>
    <t>D-0168</t>
  </si>
  <si>
    <t>D-0170</t>
  </si>
  <si>
    <t>D-0172</t>
  </si>
  <si>
    <t>D-0173</t>
  </si>
  <si>
    <t>D-0174</t>
  </si>
  <si>
    <t>D-0178</t>
  </si>
  <si>
    <t>D-0180</t>
  </si>
  <si>
    <t>D-0184</t>
  </si>
  <si>
    <t>D-0188</t>
  </si>
  <si>
    <t>D-0197</t>
  </si>
  <si>
    <t>D-0200</t>
  </si>
  <si>
    <t>D-0203</t>
  </si>
  <si>
    <t>D-0208</t>
  </si>
  <si>
    <t>D-0213</t>
  </si>
  <si>
    <t>D-0214</t>
  </si>
  <si>
    <t>D-0219</t>
  </si>
  <si>
    <t>D-0221</t>
  </si>
  <si>
    <t>D-0223</t>
  </si>
  <si>
    <t>D-0227</t>
  </si>
  <si>
    <t>D-0238</t>
  </si>
  <si>
    <t>D-0242</t>
  </si>
  <si>
    <t>D-0247</t>
  </si>
  <si>
    <t>D-0249</t>
  </si>
  <si>
    <t>D-0251</t>
  </si>
  <si>
    <t>D-0253</t>
  </si>
  <si>
    <t>D-0254</t>
  </si>
  <si>
    <t>D-0255</t>
  </si>
  <si>
    <t>D-0256</t>
  </si>
  <si>
    <t>D-0259</t>
  </si>
  <si>
    <t>D-0260</t>
  </si>
  <si>
    <t>D-0261</t>
  </si>
  <si>
    <t>D-0263</t>
  </si>
  <si>
    <t>D-0264</t>
  </si>
  <si>
    <t>D-0271</t>
  </si>
  <si>
    <t>D-0293</t>
  </si>
  <si>
    <t>D-0297</t>
  </si>
  <si>
    <t>D-0299</t>
  </si>
  <si>
    <t>D-0302</t>
  </si>
  <si>
    <t>D-0303</t>
  </si>
  <si>
    <t>D-0304</t>
  </si>
  <si>
    <t>D-0309</t>
  </si>
  <si>
    <t>D-0310</t>
  </si>
  <si>
    <t>Date</t>
  </si>
  <si>
    <t>Distributor</t>
  </si>
  <si>
    <t>CreditNote No</t>
  </si>
  <si>
    <t>Type</t>
  </si>
  <si>
    <t>Itemcode</t>
  </si>
  <si>
    <t>GST</t>
  </si>
  <si>
    <t>Description</t>
  </si>
  <si>
    <t>Quantity</t>
  </si>
  <si>
    <t>Rate</t>
  </si>
  <si>
    <t>Discount 1</t>
  </si>
  <si>
    <t>Discount 2</t>
  </si>
  <si>
    <t>Discount 3</t>
  </si>
  <si>
    <t>Total(Exc. GST)</t>
  </si>
  <si>
    <t>Final(Inc. GST)</t>
  </si>
  <si>
    <t>Remark</t>
  </si>
  <si>
    <t>CN/24-25/1</t>
  </si>
  <si>
    <t>CREDIT</t>
  </si>
  <si>
    <t>CN/24-25/2</t>
  </si>
  <si>
    <t>CN/24-25/3</t>
  </si>
  <si>
    <t>CN/24-25/4</t>
  </si>
  <si>
    <t>CN/24-25/5</t>
  </si>
  <si>
    <t>CN/24-25/6</t>
  </si>
  <si>
    <t>CN/24-25/7</t>
  </si>
  <si>
    <t>CN/24-25/8</t>
  </si>
  <si>
    <t>CN/24-25/9</t>
  </si>
  <si>
    <t>CN/24-25/10</t>
  </si>
  <si>
    <t>CN/24-25/11</t>
  </si>
  <si>
    <t>CN/24-25/12</t>
  </si>
  <si>
    <t>CN/24-25/13</t>
  </si>
  <si>
    <t>CN/24-25/14</t>
  </si>
  <si>
    <t>CN/24-25/15</t>
  </si>
  <si>
    <t>CN/24-25/16</t>
  </si>
  <si>
    <t>CN/24-25/17</t>
  </si>
  <si>
    <t>CN/24-25/18</t>
  </si>
  <si>
    <t>CN/24-25/19</t>
  </si>
  <si>
    <t>CN/24-25/20</t>
  </si>
  <si>
    <t>CN/24-25/21</t>
  </si>
  <si>
    <t>CN/24-25/22</t>
  </si>
  <si>
    <t>CN/24-25/23</t>
  </si>
  <si>
    <t>CN/24-25/24</t>
  </si>
  <si>
    <t>CN/24-25/25</t>
  </si>
  <si>
    <t>CN/24-25/26</t>
  </si>
  <si>
    <t>CN/24-25/27</t>
  </si>
  <si>
    <t>CN/24-25/28</t>
  </si>
  <si>
    <t>CN/24-25/29</t>
  </si>
  <si>
    <t>CN/24-25/30</t>
  </si>
  <si>
    <t>CN/24-25/31</t>
  </si>
  <si>
    <t>CN/24-25/32</t>
  </si>
  <si>
    <t>CN/24-25/33</t>
  </si>
  <si>
    <t>CN/24-25/34</t>
  </si>
  <si>
    <t>CN/24-25/35</t>
  </si>
  <si>
    <t>CN/24-25/36</t>
  </si>
  <si>
    <t>CN/24-25/37</t>
  </si>
  <si>
    <t>CN/24-25/38</t>
  </si>
  <si>
    <t>CN/24-25/39</t>
  </si>
  <si>
    <t>CN/24-25/40</t>
  </si>
  <si>
    <t>CN/24-25/41</t>
  </si>
  <si>
    <t>CN/24-25/42</t>
  </si>
  <si>
    <t>CN/24-25/43</t>
  </si>
  <si>
    <t>CN/24-25/44</t>
  </si>
  <si>
    <t>CN/24-25/45</t>
  </si>
  <si>
    <t>CN/24-25/46</t>
  </si>
  <si>
    <t>CN/24-25/47</t>
  </si>
  <si>
    <t>CN/24-25/48</t>
  </si>
  <si>
    <t>CN/24-25/49</t>
  </si>
  <si>
    <t>CN/24-25/50</t>
  </si>
  <si>
    <t>CN/24-25/51</t>
  </si>
  <si>
    <t>CN/24-25/52</t>
  </si>
  <si>
    <t>CN/24-25/53</t>
  </si>
  <si>
    <t>CN/24-25/54</t>
  </si>
  <si>
    <t>CN/24-25/55</t>
  </si>
  <si>
    <t>CN/24-25/56</t>
  </si>
  <si>
    <t>CN/24-25/57</t>
  </si>
  <si>
    <t>CN/24-25/58</t>
  </si>
  <si>
    <t>CN/24-25/59</t>
  </si>
  <si>
    <t>CN/24-25/60</t>
  </si>
  <si>
    <t>CN/24-25/61</t>
  </si>
  <si>
    <t>CN/24-25/62</t>
  </si>
  <si>
    <t>CN/24-25/63</t>
  </si>
  <si>
    <t>CN/24-25/64</t>
  </si>
  <si>
    <t>CN/24-25/65</t>
  </si>
  <si>
    <t>CN/24-25/66</t>
  </si>
  <si>
    <t>CN/24-25/67</t>
  </si>
  <si>
    <t>CN/24-25/68</t>
  </si>
  <si>
    <t>CN/24-25/69</t>
  </si>
  <si>
    <t>CN/24-25/70</t>
  </si>
  <si>
    <t>CN/24-25/71</t>
  </si>
  <si>
    <t>CN/24-25/72</t>
  </si>
  <si>
    <t>CN/24-25/73</t>
  </si>
  <si>
    <t>CN/24-25/74</t>
  </si>
  <si>
    <t>CN/24-25/75</t>
  </si>
  <si>
    <t>CN/24-25/76</t>
  </si>
  <si>
    <t>CN/24-25/77</t>
  </si>
  <si>
    <t>CN/24-25/78</t>
  </si>
  <si>
    <t>CN/24-25/79</t>
  </si>
  <si>
    <t>CN/24-25/80</t>
  </si>
  <si>
    <t>CN/24-25/81</t>
  </si>
  <si>
    <t>CN/24-25/82</t>
  </si>
  <si>
    <t>CN/24-25/83</t>
  </si>
  <si>
    <t>CN/24-25/84</t>
  </si>
  <si>
    <t>CN/24-25/85</t>
  </si>
  <si>
    <t>CN/24-25/86</t>
  </si>
  <si>
    <t>CN/24-25/87</t>
  </si>
  <si>
    <t>CN/24-25/88</t>
  </si>
  <si>
    <t>CN/24-25/89</t>
  </si>
  <si>
    <t>CN/24-25/90</t>
  </si>
  <si>
    <t>CN/24-25/91</t>
  </si>
  <si>
    <t>CN/24-25/92</t>
  </si>
  <si>
    <t>CN/24-25/93</t>
  </si>
  <si>
    <t>CN/24-25/94</t>
  </si>
  <si>
    <t>CN/24-25/95</t>
  </si>
  <si>
    <t>CN/24-25/96</t>
  </si>
  <si>
    <t>CN/24-25/97</t>
  </si>
  <si>
    <t>CN/24-25/98</t>
  </si>
  <si>
    <t>CN/24-25/99</t>
  </si>
  <si>
    <t>CN/24-25/100</t>
  </si>
  <si>
    <t>CN/24-25/101</t>
  </si>
  <si>
    <t>CN/24-25/102</t>
  </si>
  <si>
    <t>CN/24-25/103</t>
  </si>
  <si>
    <t>CN/24-25/104</t>
  </si>
  <si>
    <t>CN/24-25/105</t>
  </si>
  <si>
    <t>CN/24-25/106</t>
  </si>
  <si>
    <t>CN/24-25/107</t>
  </si>
  <si>
    <t>CN/24-25/108</t>
  </si>
  <si>
    <t>CN/24-25/109</t>
  </si>
  <si>
    <t>CN/24-25/110</t>
  </si>
  <si>
    <t>CN/24-25/111</t>
  </si>
  <si>
    <t>CN/24-25/112</t>
  </si>
  <si>
    <t>CN/24-25/113</t>
  </si>
  <si>
    <t>CN/24-25/114</t>
  </si>
  <si>
    <t>CN/24-25/115</t>
  </si>
  <si>
    <t>CN/24-25/116</t>
  </si>
  <si>
    <t>CN/24-25/117</t>
  </si>
  <si>
    <t>CN/24-25/118</t>
  </si>
  <si>
    <t>CN/24-25/119</t>
  </si>
  <si>
    <t>CN/24-25/120</t>
  </si>
  <si>
    <t>CN/24-25/121</t>
  </si>
  <si>
    <t>CN/24-25/122</t>
  </si>
  <si>
    <t>CN/24-25/123</t>
  </si>
  <si>
    <t>CN/24-25/124</t>
  </si>
  <si>
    <t>CN/24-25/125</t>
  </si>
  <si>
    <t>CN/24-25/126</t>
  </si>
  <si>
    <t>CN/24-25/127</t>
  </si>
  <si>
    <t>CN/24-25/128</t>
  </si>
  <si>
    <t>CN/24-25/129</t>
  </si>
  <si>
    <t>CN/24-25/130</t>
  </si>
  <si>
    <t>CN/24-25/131</t>
  </si>
  <si>
    <t>CN/24-25/132</t>
  </si>
  <si>
    <t>CN/24-25/133</t>
  </si>
  <si>
    <t>CN/24-25/134</t>
  </si>
  <si>
    <t>CN/24-25/135</t>
  </si>
  <si>
    <t>CN/24-25/136</t>
  </si>
  <si>
    <t>CN/24-25/137</t>
  </si>
  <si>
    <t>CN/24-25/138</t>
  </si>
  <si>
    <t>CN/24-25/139</t>
  </si>
  <si>
    <t>CN/24-25/140</t>
  </si>
  <si>
    <t>CN/24-25/141</t>
  </si>
  <si>
    <t>CN/24-25/142</t>
  </si>
  <si>
    <t>CN/24-25/143</t>
  </si>
  <si>
    <t>CN/24-25/144</t>
  </si>
  <si>
    <t>CN/24-25/145</t>
  </si>
  <si>
    <t>CN/24-25/146</t>
  </si>
  <si>
    <t>CN/24-25/147</t>
  </si>
  <si>
    <t>CN/24-25/148</t>
  </si>
  <si>
    <t>CN/24-25/149</t>
  </si>
  <si>
    <t>CN/24-25/150</t>
  </si>
  <si>
    <t>CN/24-25/151</t>
  </si>
  <si>
    <t>CN/24-25/152</t>
  </si>
  <si>
    <t>CN/24-25/153</t>
  </si>
  <si>
    <t>CN/24-25/154</t>
  </si>
  <si>
    <t>CN/24-25/155</t>
  </si>
  <si>
    <t>CN/24-25/156</t>
  </si>
  <si>
    <t>CN/24-25/157</t>
  </si>
  <si>
    <t>CN/24-25/158</t>
  </si>
  <si>
    <t>CN/24-25/159</t>
  </si>
  <si>
    <t>CN/24-25/160</t>
  </si>
  <si>
    <t>CN/24-25/161</t>
  </si>
  <si>
    <t>CN/24-25/162</t>
  </si>
  <si>
    <t>CN/24-25/163</t>
  </si>
  <si>
    <t>CN/24-25/164</t>
  </si>
  <si>
    <t>CN/24-25/165</t>
  </si>
  <si>
    <t>CN/24-25/166</t>
  </si>
  <si>
    <t>CN/24-25/167</t>
  </si>
  <si>
    <t>CN/24-25/168</t>
  </si>
  <si>
    <t>CN/24-25/169</t>
  </si>
  <si>
    <t>CN/24-25/170</t>
  </si>
  <si>
    <t>CN/24-25/171</t>
  </si>
  <si>
    <t>CN/24-25/172</t>
  </si>
  <si>
    <t>CN/24-25/173</t>
  </si>
  <si>
    <t>CN/24-25/174</t>
  </si>
  <si>
    <t>CN/24-25/175</t>
  </si>
  <si>
    <t>CN/24-25/176</t>
  </si>
  <si>
    <t>CN/24-25/177</t>
  </si>
  <si>
    <t>CN/24-25/178</t>
  </si>
  <si>
    <t>CN/24-25/179</t>
  </si>
  <si>
    <t>CN/24-25/180</t>
  </si>
  <si>
    <t>CN/24-25/181</t>
  </si>
  <si>
    <t>CN/24-25/182</t>
  </si>
  <si>
    <t>CN/24-25/183</t>
  </si>
  <si>
    <t>CN/24-25/184</t>
  </si>
  <si>
    <t>CN/24-25/185</t>
  </si>
  <si>
    <t>CN/24-25/186</t>
  </si>
  <si>
    <t>CN/24-25/187</t>
  </si>
  <si>
    <t>CN/24-25/188</t>
  </si>
  <si>
    <t>CN/24-25/189</t>
  </si>
  <si>
    <t>CN/24-25/190</t>
  </si>
  <si>
    <t>CN/24-25/191</t>
  </si>
  <si>
    <t>CN/24-25/192</t>
  </si>
  <si>
    <t>CN/24-25/193</t>
  </si>
  <si>
    <t>CN/24-25/194</t>
  </si>
  <si>
    <t>CN/24-25/195</t>
  </si>
  <si>
    <t>CN/24-25/196</t>
  </si>
  <si>
    <t>CN/24-25/197</t>
  </si>
  <si>
    <t>CN/24-25/198</t>
  </si>
  <si>
    <t>CN/24-25/199</t>
  </si>
  <si>
    <t>CN/24-25/200</t>
  </si>
  <si>
    <t>CN/24-25/201</t>
  </si>
  <si>
    <t>CN/24-25/202</t>
  </si>
  <si>
    <t>CN/24-25/203</t>
  </si>
  <si>
    <t>CN/24-25/204</t>
  </si>
  <si>
    <t>CN/24-25/205</t>
  </si>
  <si>
    <t>CN/24-25/206</t>
  </si>
  <si>
    <t>CN/24-25/207</t>
  </si>
  <si>
    <t>CN/24-25/208</t>
  </si>
  <si>
    <t>CN/24-25/209</t>
  </si>
  <si>
    <t>CN/24-25/210</t>
  </si>
  <si>
    <t>CN/24-25/211</t>
  </si>
  <si>
    <t>CN/24-25/212</t>
  </si>
  <si>
    <t>CN/24-25/213</t>
  </si>
  <si>
    <t>CN/24-25/214</t>
  </si>
  <si>
    <t>CN/24-25/215</t>
  </si>
  <si>
    <t>CN/24-25/216</t>
  </si>
  <si>
    <t>CN/24-25/217</t>
  </si>
  <si>
    <t>CN/24-25/218</t>
  </si>
  <si>
    <t>CN/24-25/219</t>
  </si>
  <si>
    <t>CN/24-25/220</t>
  </si>
  <si>
    <t>CN/24-25/221</t>
  </si>
  <si>
    <t>CN/24-25/222</t>
  </si>
  <si>
    <t>CN/24-25/223</t>
  </si>
  <si>
    <t>CN/24-25/224</t>
  </si>
  <si>
    <t>CN/24-25/225</t>
  </si>
  <si>
    <t>CN/24-25/226</t>
  </si>
  <si>
    <t>CN/24-25/227</t>
  </si>
  <si>
    <t>CN/24-25/228</t>
  </si>
  <si>
    <t>CN/24-25/229</t>
  </si>
  <si>
    <t>CN/24-25/230</t>
  </si>
  <si>
    <t>CN/24-25/231</t>
  </si>
  <si>
    <t>CN/24-25/232</t>
  </si>
  <si>
    <t>CN/24-25/233</t>
  </si>
  <si>
    <t>CN/24-25/234</t>
  </si>
  <si>
    <t>CN/24-25/235</t>
  </si>
  <si>
    <t>CN/24-25/236</t>
  </si>
  <si>
    <t>CN/24-25/237</t>
  </si>
  <si>
    <t>CN/24-25/238</t>
  </si>
  <si>
    <t>CN/24-25/239</t>
  </si>
  <si>
    <t>CN/24-25/240</t>
  </si>
  <si>
    <t>CN/24-25/241</t>
  </si>
  <si>
    <t>CN/24-25/242</t>
  </si>
  <si>
    <t>CN/24-25/243</t>
  </si>
  <si>
    <t>CN/24-25/244</t>
  </si>
  <si>
    <t>CN/24-25/245</t>
  </si>
  <si>
    <t>CN/24-25/246</t>
  </si>
  <si>
    <t>CN/24-25/247</t>
  </si>
  <si>
    <t>CN/24-25/248</t>
  </si>
  <si>
    <t>CN/24-25/249</t>
  </si>
  <si>
    <t>CN/24-25/250</t>
  </si>
  <si>
    <t>CN/24-25/251</t>
  </si>
  <si>
    <t>CN/24-25/252</t>
  </si>
  <si>
    <t>CN/24-25/253</t>
  </si>
  <si>
    <t>CN/24-25/254</t>
  </si>
  <si>
    <t>CN/24-25/255</t>
  </si>
  <si>
    <t>CN/24-25/256</t>
  </si>
  <si>
    <t>CN/24-25/257</t>
  </si>
  <si>
    <t>CN/24-25/258</t>
  </si>
  <si>
    <t>CN/24-25/259</t>
  </si>
  <si>
    <t>CN/24-25/260</t>
  </si>
  <si>
    <t>CN/24-25/261</t>
  </si>
  <si>
    <t>CN/24-25/262</t>
  </si>
  <si>
    <t>CN/24-25/263</t>
  </si>
  <si>
    <t>CN/24-25/264</t>
  </si>
  <si>
    <t>CN/24-25/265</t>
  </si>
  <si>
    <t>CN/24-25/266</t>
  </si>
  <si>
    <t>CN/24-25/267</t>
  </si>
  <si>
    <t>CN/24-25/268</t>
  </si>
  <si>
    <t>CN/24-25/269</t>
  </si>
  <si>
    <t>CN/24-25/270</t>
  </si>
  <si>
    <t>CN/24-25/271</t>
  </si>
  <si>
    <t>CN/24-25/272</t>
  </si>
  <si>
    <t>CN/24-25/273</t>
  </si>
  <si>
    <t>CN/24-25/274</t>
  </si>
  <si>
    <t>CN/24-25/275</t>
  </si>
  <si>
    <t>CN/24-25/276</t>
  </si>
  <si>
    <t>CN/24-25/277</t>
  </si>
  <si>
    <t>CN/24-25/278</t>
  </si>
  <si>
    <t>CN/24-25/279</t>
  </si>
  <si>
    <t>CN/24-25/280</t>
  </si>
  <si>
    <t>CN/24-25/281</t>
  </si>
  <si>
    <t>CN/24-25/282</t>
  </si>
  <si>
    <t>CN/24-25/283</t>
  </si>
  <si>
    <t>CN/24-25/284</t>
  </si>
  <si>
    <t>CN/24-25/285</t>
  </si>
  <si>
    <t>CN/24-25/286</t>
  </si>
  <si>
    <t>CN/24-25/287</t>
  </si>
  <si>
    <t>CANCEL</t>
  </si>
  <si>
    <t>NO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</si>
</sst>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8"/>
  <sheetViews>
    <sheetView tabSelected="1" workbookViewId="0"/>
  </sheetViews>
  <sheetFormatPr defaultRowHeight="14.4" x14ac:dyDescent="0.3"/>
  <cols>
    <col min="1" max="1" width="10.5546875" bestFit="1" customWidth="1"/>
    <col min="2" max="2" width="7.109375" bestFit="1" customWidth="1"/>
    <col min="3" max="3" width="51.109375" bestFit="1" customWidth="1"/>
    <col min="4" max="4" width="12.6640625" bestFit="1" customWidth="1"/>
    <col min="5" max="5" width="15.109375" bestFit="1" customWidth="1"/>
    <col min="6" max="6" width="22.109375" bestFit="1" customWidth="1"/>
    <col min="7" max="7" width="9.77734375" bestFit="1" customWidth="1"/>
    <col min="8" max="8" width="22.109375" bestFit="1" customWidth="1"/>
    <col min="9" max="9" width="9" bestFit="1" customWidth="1"/>
  </cols>
  <sheetData>
    <row r="1" spans="1:16" ht="28.8" x14ac:dyDescent="0.3">
      <c r="A1" s="1" t="s">
        <v>203</v>
      </c>
      <c r="B1" s="1" t="s">
        <v>0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 spans="1:16" x14ac:dyDescent="0.3">
      <c r="A2" s="2">
        <v>45383</v>
      </c>
      <c r="B2" s="3" t="s">
        <v>186</v>
      </c>
      <c r="C2" s="3" t="s">
        <v>1</v>
      </c>
      <c r="D2" s="3" t="s">
        <v>218</v>
      </c>
      <c r="E2" s="3" t="s">
        <v>219</v>
      </c>
      <c r="F2" s="3" t="s">
        <v>2</v>
      </c>
      <c r="G2" s="3">
        <v>18</v>
      </c>
      <c r="H2" s="3" t="s">
        <v>3</v>
      </c>
      <c r="I2" s="3">
        <v>1</v>
      </c>
      <c r="J2" s="3">
        <v>300</v>
      </c>
      <c r="K2" s="3"/>
      <c r="L2" s="3"/>
      <c r="M2" s="3">
        <v>15.25</v>
      </c>
      <c r="N2" s="3">
        <f>J2-J2*M2/100</f>
        <v>254.25</v>
      </c>
      <c r="O2" s="4">
        <f>N2+N2*18/100</f>
        <v>300.01499999999999</v>
      </c>
      <c r="P2" s="3"/>
    </row>
    <row r="3" spans="1:16" x14ac:dyDescent="0.3">
      <c r="A3" s="2">
        <v>45384</v>
      </c>
      <c r="B3" s="3" t="s">
        <v>133</v>
      </c>
      <c r="C3" s="3" t="s">
        <v>4</v>
      </c>
      <c r="D3" s="3" t="s">
        <v>220</v>
      </c>
      <c r="E3" s="3" t="s">
        <v>219</v>
      </c>
      <c r="F3" s="3" t="s">
        <v>5</v>
      </c>
      <c r="G3" s="3">
        <v>18</v>
      </c>
      <c r="H3" s="3" t="s">
        <v>6</v>
      </c>
      <c r="I3" s="3">
        <v>1</v>
      </c>
      <c r="J3" s="3">
        <v>300</v>
      </c>
      <c r="K3" s="3"/>
      <c r="L3" s="3"/>
      <c r="M3" s="3">
        <v>15.25</v>
      </c>
      <c r="N3" s="3">
        <f>J3-J3*M3/100</f>
        <v>254.25</v>
      </c>
      <c r="O3" s="4">
        <f>N3+N3*18/100</f>
        <v>300.01499999999999</v>
      </c>
      <c r="P3" s="3"/>
    </row>
    <row r="4" spans="1:16" x14ac:dyDescent="0.3">
      <c r="A4" s="2">
        <v>45384</v>
      </c>
      <c r="B4" s="3" t="s">
        <v>190</v>
      </c>
      <c r="C4" s="3" t="s">
        <v>7</v>
      </c>
      <c r="D4" s="3" t="s">
        <v>221</v>
      </c>
      <c r="E4" s="3" t="s">
        <v>219</v>
      </c>
      <c r="F4" s="3" t="s">
        <v>5</v>
      </c>
      <c r="G4" s="3">
        <v>18</v>
      </c>
      <c r="H4" s="3" t="s">
        <v>6</v>
      </c>
      <c r="I4" s="3">
        <v>1</v>
      </c>
      <c r="J4" s="3">
        <v>300</v>
      </c>
      <c r="K4" s="3"/>
      <c r="L4" s="3"/>
      <c r="M4" s="3">
        <v>15.25</v>
      </c>
      <c r="N4" s="3">
        <f>J4-J4*M4/100</f>
        <v>254.25</v>
      </c>
      <c r="O4" s="4">
        <f>N4+N4*18/100</f>
        <v>300.01499999999999</v>
      </c>
      <c r="P4" s="3"/>
    </row>
    <row r="5" spans="1:16" x14ac:dyDescent="0.3">
      <c r="A5" s="2">
        <v>45384</v>
      </c>
      <c r="B5" s="3" t="s">
        <v>169</v>
      </c>
      <c r="C5" s="3" t="s">
        <v>8</v>
      </c>
      <c r="D5" s="3" t="s">
        <v>222</v>
      </c>
      <c r="E5" s="3" t="s">
        <v>219</v>
      </c>
      <c r="F5" s="3" t="s">
        <v>5</v>
      </c>
      <c r="G5" s="3">
        <v>18</v>
      </c>
      <c r="H5" s="3" t="s">
        <v>6</v>
      </c>
      <c r="I5" s="3">
        <v>1</v>
      </c>
      <c r="J5" s="3">
        <v>300</v>
      </c>
      <c r="K5" s="3"/>
      <c r="L5" s="3"/>
      <c r="M5" s="3">
        <v>15.25</v>
      </c>
      <c r="N5" s="3">
        <f>J5-J5*M5/100</f>
        <v>254.25</v>
      </c>
      <c r="O5" s="4">
        <f>N5+N5*18/100</f>
        <v>300.01499999999999</v>
      </c>
      <c r="P5" s="3"/>
    </row>
    <row r="6" spans="1:16" x14ac:dyDescent="0.3">
      <c r="A6" s="2">
        <v>45384</v>
      </c>
      <c r="B6" s="3" t="s">
        <v>200</v>
      </c>
      <c r="C6" s="3" t="s">
        <v>9</v>
      </c>
      <c r="D6" s="3" t="s">
        <v>223</v>
      </c>
      <c r="E6" s="3" t="s">
        <v>219</v>
      </c>
      <c r="F6" s="3" t="s">
        <v>5</v>
      </c>
      <c r="G6" s="3">
        <v>18</v>
      </c>
      <c r="H6" s="3" t="s">
        <v>6</v>
      </c>
      <c r="I6" s="3">
        <v>1</v>
      </c>
      <c r="J6" s="3">
        <v>600</v>
      </c>
      <c r="K6" s="3"/>
      <c r="L6" s="3"/>
      <c r="M6" s="3">
        <v>15.25</v>
      </c>
      <c r="N6" s="3">
        <f>J6-J6*M6/100</f>
        <v>508.5</v>
      </c>
      <c r="O6" s="4">
        <f>N6+N6*18/100</f>
        <v>600.03</v>
      </c>
      <c r="P6" s="3"/>
    </row>
    <row r="7" spans="1:16" x14ac:dyDescent="0.3">
      <c r="A7" s="2">
        <v>45384</v>
      </c>
      <c r="B7" s="3" t="s">
        <v>143</v>
      </c>
      <c r="C7" s="3" t="s">
        <v>10</v>
      </c>
      <c r="D7" s="3" t="s">
        <v>224</v>
      </c>
      <c r="E7" s="3" t="s">
        <v>219</v>
      </c>
      <c r="F7" s="3" t="s">
        <v>5</v>
      </c>
      <c r="G7" s="3">
        <v>18</v>
      </c>
      <c r="H7" s="3" t="s">
        <v>6</v>
      </c>
      <c r="I7" s="3">
        <v>1</v>
      </c>
      <c r="J7" s="3">
        <v>300</v>
      </c>
      <c r="K7" s="3"/>
      <c r="L7" s="3"/>
      <c r="M7" s="3">
        <v>15.25</v>
      </c>
      <c r="N7" s="3">
        <f>J7-J7*M7/100</f>
        <v>254.25</v>
      </c>
      <c r="O7" s="4">
        <f>N7+N7*18/100</f>
        <v>300.01499999999999</v>
      </c>
      <c r="P7" s="3"/>
    </row>
    <row r="8" spans="1:16" x14ac:dyDescent="0.3">
      <c r="A8" s="2">
        <v>45385</v>
      </c>
      <c r="B8" s="3" t="s">
        <v>182</v>
      </c>
      <c r="C8" s="3" t="s">
        <v>11</v>
      </c>
      <c r="D8" s="3" t="s">
        <v>225</v>
      </c>
      <c r="E8" s="3" t="s">
        <v>219</v>
      </c>
      <c r="F8" s="3" t="s">
        <v>5</v>
      </c>
      <c r="G8" s="3">
        <v>18</v>
      </c>
      <c r="H8" s="3" t="s">
        <v>6</v>
      </c>
      <c r="I8" s="3">
        <v>1</v>
      </c>
      <c r="J8" s="3">
        <v>600</v>
      </c>
      <c r="K8" s="3"/>
      <c r="L8" s="3"/>
      <c r="M8" s="3">
        <v>15.25</v>
      </c>
      <c r="N8" s="3">
        <f>J8-J8*M8/100</f>
        <v>508.5</v>
      </c>
      <c r="O8" s="4">
        <f>N8+N8*18/100</f>
        <v>600.03</v>
      </c>
      <c r="P8" s="3"/>
    </row>
    <row r="9" spans="1:16" x14ac:dyDescent="0.3">
      <c r="A9" s="2">
        <v>45385</v>
      </c>
      <c r="B9" s="3" t="s">
        <v>195</v>
      </c>
      <c r="C9" s="3" t="s">
        <v>12</v>
      </c>
      <c r="D9" s="3" t="s">
        <v>226</v>
      </c>
      <c r="E9" s="3" t="s">
        <v>219</v>
      </c>
      <c r="F9" s="3" t="s">
        <v>5</v>
      </c>
      <c r="G9" s="3">
        <v>18</v>
      </c>
      <c r="H9" s="3" t="s">
        <v>6</v>
      </c>
      <c r="I9" s="3">
        <v>1</v>
      </c>
      <c r="J9" s="3">
        <v>900</v>
      </c>
      <c r="K9" s="3"/>
      <c r="L9" s="3"/>
      <c r="M9" s="3">
        <v>15.25</v>
      </c>
      <c r="N9" s="3">
        <f>J9-J9*M9/100</f>
        <v>762.75</v>
      </c>
      <c r="O9" s="4">
        <f>N9+N9*18/100</f>
        <v>900.04499999999996</v>
      </c>
      <c r="P9" s="3"/>
    </row>
    <row r="10" spans="1:16" x14ac:dyDescent="0.3">
      <c r="A10" s="2">
        <v>45386</v>
      </c>
      <c r="B10" s="3" t="s">
        <v>178</v>
      </c>
      <c r="C10" s="3" t="s">
        <v>13</v>
      </c>
      <c r="D10" s="3" t="s">
        <v>227</v>
      </c>
      <c r="E10" s="3" t="s">
        <v>219</v>
      </c>
      <c r="F10" s="3" t="s">
        <v>5</v>
      </c>
      <c r="G10" s="3">
        <v>18</v>
      </c>
      <c r="H10" s="3" t="s">
        <v>6</v>
      </c>
      <c r="I10" s="3">
        <v>1</v>
      </c>
      <c r="J10" s="3">
        <v>600</v>
      </c>
      <c r="K10" s="3"/>
      <c r="L10" s="3"/>
      <c r="M10" s="3">
        <v>15.25</v>
      </c>
      <c r="N10" s="3">
        <f>J10-J10*M10/100</f>
        <v>508.5</v>
      </c>
      <c r="O10" s="4">
        <f>N10+N10*18/100</f>
        <v>600.03</v>
      </c>
      <c r="P10" s="3"/>
    </row>
    <row r="11" spans="1:16" x14ac:dyDescent="0.3">
      <c r="A11" s="2">
        <v>45387</v>
      </c>
      <c r="B11" s="3" t="s">
        <v>200</v>
      </c>
      <c r="C11" s="3" t="s">
        <v>9</v>
      </c>
      <c r="D11" s="3" t="s">
        <v>228</v>
      </c>
      <c r="E11" s="3" t="s">
        <v>219</v>
      </c>
      <c r="F11" s="3" t="s">
        <v>5</v>
      </c>
      <c r="G11" s="3">
        <v>18</v>
      </c>
      <c r="H11" s="3" t="s">
        <v>6</v>
      </c>
      <c r="I11" s="3">
        <v>1</v>
      </c>
      <c r="J11" s="3">
        <v>600</v>
      </c>
      <c r="K11" s="3"/>
      <c r="L11" s="3"/>
      <c r="M11" s="3">
        <v>15.25</v>
      </c>
      <c r="N11" s="3">
        <f>J11-J11*M11/100</f>
        <v>508.5</v>
      </c>
      <c r="O11" s="4">
        <f>N11+N11*18/100</f>
        <v>600.03</v>
      </c>
      <c r="P11" s="3"/>
    </row>
    <row r="12" spans="1:16" x14ac:dyDescent="0.3">
      <c r="A12" s="2">
        <v>45388</v>
      </c>
      <c r="B12" s="3" t="s">
        <v>118</v>
      </c>
      <c r="C12" s="3" t="s">
        <v>14</v>
      </c>
      <c r="D12" s="3" t="s">
        <v>229</v>
      </c>
      <c r="E12" s="3" t="s">
        <v>219</v>
      </c>
      <c r="F12" s="3" t="s">
        <v>5</v>
      </c>
      <c r="G12" s="3">
        <v>18</v>
      </c>
      <c r="H12" s="3" t="s">
        <v>6</v>
      </c>
      <c r="I12" s="3">
        <v>1</v>
      </c>
      <c r="J12" s="3">
        <v>600</v>
      </c>
      <c r="K12" s="3"/>
      <c r="L12" s="3"/>
      <c r="M12" s="3">
        <v>15.25</v>
      </c>
      <c r="N12" s="3">
        <f>J12-J12*M12/100</f>
        <v>508.5</v>
      </c>
      <c r="O12" s="4">
        <f>N12+N12*18/100</f>
        <v>600.03</v>
      </c>
      <c r="P12" s="3"/>
    </row>
    <row r="13" spans="1:16" x14ac:dyDescent="0.3">
      <c r="A13" s="2">
        <v>45388</v>
      </c>
      <c r="B13" s="3" t="s">
        <v>199</v>
      </c>
      <c r="C13" s="3" t="s">
        <v>15</v>
      </c>
      <c r="D13" s="3" t="s">
        <v>230</v>
      </c>
      <c r="E13" s="3" t="s">
        <v>219</v>
      </c>
      <c r="F13" s="3" t="s">
        <v>5</v>
      </c>
      <c r="G13" s="3">
        <v>18</v>
      </c>
      <c r="H13" s="3" t="s">
        <v>6</v>
      </c>
      <c r="I13" s="3">
        <v>1</v>
      </c>
      <c r="J13" s="3">
        <v>300</v>
      </c>
      <c r="K13" s="3"/>
      <c r="L13" s="3"/>
      <c r="M13" s="3">
        <v>15.25</v>
      </c>
      <c r="N13" s="3">
        <f>J13-J13*M13/100</f>
        <v>254.25</v>
      </c>
      <c r="O13" s="4">
        <f>N13+N13*18/100</f>
        <v>300.01499999999999</v>
      </c>
      <c r="P13" s="3"/>
    </row>
    <row r="14" spans="1:16" x14ac:dyDescent="0.3">
      <c r="A14" s="2">
        <v>45394</v>
      </c>
      <c r="B14" s="3" t="s">
        <v>199</v>
      </c>
      <c r="C14" s="3" t="s">
        <v>15</v>
      </c>
      <c r="D14" s="3" t="s">
        <v>231</v>
      </c>
      <c r="E14" s="3" t="s">
        <v>219</v>
      </c>
      <c r="F14" s="3" t="s">
        <v>16</v>
      </c>
      <c r="G14" s="3">
        <v>18</v>
      </c>
      <c r="H14" s="3" t="s">
        <v>17</v>
      </c>
      <c r="I14" s="3">
        <v>1</v>
      </c>
      <c r="J14" s="3">
        <v>1050</v>
      </c>
      <c r="K14" s="3"/>
      <c r="L14" s="3"/>
      <c r="M14" s="3">
        <v>15.25</v>
      </c>
      <c r="N14" s="3">
        <f>J14-J14*M14/100</f>
        <v>889.875</v>
      </c>
      <c r="O14" s="4">
        <f>N14+N14*18/100</f>
        <v>1050.0525</v>
      </c>
      <c r="P14" s="3"/>
    </row>
    <row r="15" spans="1:16" x14ac:dyDescent="0.3">
      <c r="A15" s="2">
        <v>45394</v>
      </c>
      <c r="B15" s="3" t="s">
        <v>126</v>
      </c>
      <c r="C15" s="3" t="s">
        <v>18</v>
      </c>
      <c r="D15" s="3" t="s">
        <v>232</v>
      </c>
      <c r="E15" s="3" t="s">
        <v>219</v>
      </c>
      <c r="F15" s="3" t="s">
        <v>5</v>
      </c>
      <c r="G15" s="3">
        <v>18</v>
      </c>
      <c r="H15" s="3" t="s">
        <v>6</v>
      </c>
      <c r="I15" s="3">
        <v>1</v>
      </c>
      <c r="J15" s="3">
        <v>300</v>
      </c>
      <c r="K15" s="3"/>
      <c r="L15" s="3"/>
      <c r="M15" s="3">
        <v>15.25</v>
      </c>
      <c r="N15" s="3">
        <f>J15-J15*M15/100</f>
        <v>254.25</v>
      </c>
      <c r="O15" s="4">
        <f>N15+N15*18/100</f>
        <v>300.01499999999999</v>
      </c>
      <c r="P15" s="3"/>
    </row>
    <row r="16" spans="1:16" x14ac:dyDescent="0.3">
      <c r="A16" s="2">
        <v>45394</v>
      </c>
      <c r="B16" s="3" t="s">
        <v>181</v>
      </c>
      <c r="C16" s="3" t="s">
        <v>19</v>
      </c>
      <c r="D16" s="3" t="s">
        <v>233</v>
      </c>
      <c r="E16" s="3" t="s">
        <v>219</v>
      </c>
      <c r="F16" s="3" t="s">
        <v>5</v>
      </c>
      <c r="G16" s="3">
        <v>18</v>
      </c>
      <c r="H16" s="3" t="s">
        <v>6</v>
      </c>
      <c r="I16" s="3">
        <v>1</v>
      </c>
      <c r="J16" s="3">
        <v>300</v>
      </c>
      <c r="K16" s="3"/>
      <c r="L16" s="3"/>
      <c r="M16" s="3">
        <v>15.25</v>
      </c>
      <c r="N16" s="3">
        <f>J16-J16*M16/100</f>
        <v>254.25</v>
      </c>
      <c r="O16" s="4">
        <f>N16+N16*18/100</f>
        <v>300.01499999999999</v>
      </c>
      <c r="P16" s="3"/>
    </row>
    <row r="17" spans="1:16" x14ac:dyDescent="0.3">
      <c r="A17" s="2">
        <v>45394</v>
      </c>
      <c r="B17" s="3" t="s">
        <v>140</v>
      </c>
      <c r="C17" s="3" t="s">
        <v>20</v>
      </c>
      <c r="D17" s="3" t="s">
        <v>234</v>
      </c>
      <c r="E17" s="3" t="s">
        <v>219</v>
      </c>
      <c r="F17" s="3" t="s">
        <v>5</v>
      </c>
      <c r="G17" s="3">
        <v>18</v>
      </c>
      <c r="H17" s="3" t="s">
        <v>6</v>
      </c>
      <c r="I17" s="3">
        <v>1</v>
      </c>
      <c r="J17" s="3">
        <v>300</v>
      </c>
      <c r="K17" s="3"/>
      <c r="L17" s="3"/>
      <c r="M17" s="3">
        <v>15.25</v>
      </c>
      <c r="N17" s="3">
        <f>J17-J17*M17/100</f>
        <v>254.25</v>
      </c>
      <c r="O17" s="4">
        <f>N17+N17*18/100</f>
        <v>300.01499999999999</v>
      </c>
      <c r="P17" s="3"/>
    </row>
    <row r="18" spans="1:16" x14ac:dyDescent="0.3">
      <c r="A18" s="2">
        <v>45395</v>
      </c>
      <c r="B18" s="3" t="s">
        <v>117</v>
      </c>
      <c r="C18" s="3" t="s">
        <v>21</v>
      </c>
      <c r="D18" s="3" t="s">
        <v>235</v>
      </c>
      <c r="E18" s="3" t="s">
        <v>219</v>
      </c>
      <c r="F18" s="3" t="s">
        <v>5</v>
      </c>
      <c r="G18" s="3">
        <v>18</v>
      </c>
      <c r="H18" s="3" t="s">
        <v>6</v>
      </c>
      <c r="I18" s="3">
        <v>1</v>
      </c>
      <c r="J18" s="3">
        <v>300</v>
      </c>
      <c r="K18" s="3"/>
      <c r="L18" s="3"/>
      <c r="M18" s="3">
        <v>15.25</v>
      </c>
      <c r="N18" s="3">
        <f>J18-J18*M18/100</f>
        <v>254.25</v>
      </c>
      <c r="O18" s="4">
        <f>N18+N18*18/100</f>
        <v>300.01499999999999</v>
      </c>
      <c r="P18" s="3"/>
    </row>
    <row r="19" spans="1:16" x14ac:dyDescent="0.3">
      <c r="A19" s="2">
        <v>45398</v>
      </c>
      <c r="B19" s="3" t="s">
        <v>171</v>
      </c>
      <c r="C19" s="3" t="s">
        <v>22</v>
      </c>
      <c r="D19" s="3" t="s">
        <v>236</v>
      </c>
      <c r="E19" s="3" t="s">
        <v>219</v>
      </c>
      <c r="F19" s="3" t="s">
        <v>5</v>
      </c>
      <c r="G19" s="3">
        <v>18</v>
      </c>
      <c r="H19" s="3" t="s">
        <v>6</v>
      </c>
      <c r="I19" s="3">
        <v>1</v>
      </c>
      <c r="J19" s="3">
        <v>300</v>
      </c>
      <c r="K19" s="3"/>
      <c r="L19" s="3"/>
      <c r="M19" s="3">
        <v>15.25</v>
      </c>
      <c r="N19" s="3">
        <f>J19-J19*M19/100</f>
        <v>254.25</v>
      </c>
      <c r="O19" s="4">
        <f>N19+N19*18/100</f>
        <v>300.01499999999999</v>
      </c>
      <c r="P19" s="3"/>
    </row>
    <row r="20" spans="1:16" x14ac:dyDescent="0.3">
      <c r="A20" s="2">
        <v>45400</v>
      </c>
      <c r="B20" s="3" t="s">
        <v>195</v>
      </c>
      <c r="C20" s="3" t="s">
        <v>12</v>
      </c>
      <c r="D20" s="3" t="s">
        <v>237</v>
      </c>
      <c r="E20" s="3" t="s">
        <v>219</v>
      </c>
      <c r="F20" s="3" t="s">
        <v>5</v>
      </c>
      <c r="G20" s="3">
        <v>18</v>
      </c>
      <c r="H20" s="3" t="s">
        <v>6</v>
      </c>
      <c r="I20" s="3">
        <v>1</v>
      </c>
      <c r="J20" s="3">
        <v>900</v>
      </c>
      <c r="K20" s="3"/>
      <c r="L20" s="3"/>
      <c r="M20" s="3">
        <v>15.25</v>
      </c>
      <c r="N20" s="3">
        <f>J20-J20*M20/100</f>
        <v>762.75</v>
      </c>
      <c r="O20" s="4">
        <f>N20+N20*18/100</f>
        <v>900.04499999999996</v>
      </c>
      <c r="P20" s="3"/>
    </row>
    <row r="21" spans="1:16" x14ac:dyDescent="0.3">
      <c r="A21" s="2">
        <v>45400</v>
      </c>
      <c r="B21" s="3" t="s">
        <v>178</v>
      </c>
      <c r="C21" s="3" t="s">
        <v>13</v>
      </c>
      <c r="D21" s="3" t="s">
        <v>238</v>
      </c>
      <c r="E21" s="3" t="s">
        <v>219</v>
      </c>
      <c r="F21" s="3" t="s">
        <v>5</v>
      </c>
      <c r="G21" s="3">
        <v>18</v>
      </c>
      <c r="H21" s="3" t="s">
        <v>6</v>
      </c>
      <c r="I21" s="3">
        <v>1</v>
      </c>
      <c r="J21" s="3">
        <v>900</v>
      </c>
      <c r="K21" s="3"/>
      <c r="L21" s="3"/>
      <c r="M21" s="3">
        <v>15.25</v>
      </c>
      <c r="N21" s="3">
        <f>J21-J21*M21/100</f>
        <v>762.75</v>
      </c>
      <c r="O21" s="4">
        <f>N21+N21*18/100</f>
        <v>900.04499999999996</v>
      </c>
      <c r="P21" s="3"/>
    </row>
    <row r="22" spans="1:16" x14ac:dyDescent="0.3">
      <c r="A22" s="2">
        <v>45402</v>
      </c>
      <c r="B22" s="3" t="s">
        <v>171</v>
      </c>
      <c r="C22" s="3" t="s">
        <v>22</v>
      </c>
      <c r="D22" s="3" t="s">
        <v>239</v>
      </c>
      <c r="E22" s="3" t="s">
        <v>219</v>
      </c>
      <c r="F22" s="3" t="s">
        <v>5</v>
      </c>
      <c r="G22" s="3">
        <v>18</v>
      </c>
      <c r="H22" s="3" t="s">
        <v>6</v>
      </c>
      <c r="I22" s="3">
        <v>1</v>
      </c>
      <c r="J22" s="3">
        <v>300</v>
      </c>
      <c r="K22" s="3"/>
      <c r="L22" s="3"/>
      <c r="M22" s="3">
        <v>15.25</v>
      </c>
      <c r="N22" s="3">
        <f>J22-J22*M22/100</f>
        <v>254.25</v>
      </c>
      <c r="O22" s="4">
        <f>N22+N22*18/100</f>
        <v>300.01499999999999</v>
      </c>
      <c r="P22" s="3"/>
    </row>
    <row r="23" spans="1:16" x14ac:dyDescent="0.3">
      <c r="A23" s="2">
        <v>45402</v>
      </c>
      <c r="B23" s="3" t="s">
        <v>158</v>
      </c>
      <c r="C23" s="3" t="s">
        <v>23</v>
      </c>
      <c r="D23" s="3" t="s">
        <v>240</v>
      </c>
      <c r="E23" s="3" t="s">
        <v>219</v>
      </c>
      <c r="F23" s="3" t="s">
        <v>5</v>
      </c>
      <c r="G23" s="3">
        <v>18</v>
      </c>
      <c r="H23" s="3" t="s">
        <v>6</v>
      </c>
      <c r="I23" s="3">
        <v>1</v>
      </c>
      <c r="J23" s="3">
        <v>300</v>
      </c>
      <c r="K23" s="3"/>
      <c r="L23" s="3"/>
      <c r="M23" s="3">
        <v>15.25</v>
      </c>
      <c r="N23" s="3">
        <f>J23-J23*M23/100</f>
        <v>254.25</v>
      </c>
      <c r="O23" s="4">
        <f>N23+N23*18/100</f>
        <v>300.01499999999999</v>
      </c>
      <c r="P23" s="3"/>
    </row>
    <row r="24" spans="1:16" x14ac:dyDescent="0.3">
      <c r="A24" s="2">
        <v>45406</v>
      </c>
      <c r="B24" s="3" t="s">
        <v>157</v>
      </c>
      <c r="C24" s="3" t="s">
        <v>24</v>
      </c>
      <c r="D24" s="3" t="s">
        <v>241</v>
      </c>
      <c r="E24" s="3" t="s">
        <v>219</v>
      </c>
      <c r="F24" s="3" t="s">
        <v>2</v>
      </c>
      <c r="G24" s="3">
        <v>18</v>
      </c>
      <c r="H24" s="3" t="s">
        <v>3</v>
      </c>
      <c r="I24" s="3">
        <v>1</v>
      </c>
      <c r="J24" s="3">
        <v>2187</v>
      </c>
      <c r="K24" s="3"/>
      <c r="L24" s="3"/>
      <c r="M24" s="3">
        <v>15.25</v>
      </c>
      <c r="N24" s="3">
        <f>J24-J24*M24/100</f>
        <v>1853.4825000000001</v>
      </c>
      <c r="O24" s="4">
        <f>N24+N24*18/100</f>
        <v>2187.1093500000002</v>
      </c>
      <c r="P24" s="3"/>
    </row>
    <row r="25" spans="1:16" x14ac:dyDescent="0.3">
      <c r="A25" s="2">
        <v>45406</v>
      </c>
      <c r="B25" s="3" t="s">
        <v>158</v>
      </c>
      <c r="C25" s="3" t="s">
        <v>23</v>
      </c>
      <c r="D25" s="3" t="s">
        <v>242</v>
      </c>
      <c r="E25" s="3" t="s">
        <v>219</v>
      </c>
      <c r="F25" s="3" t="s">
        <v>2</v>
      </c>
      <c r="G25" s="3">
        <v>18</v>
      </c>
      <c r="H25" s="3" t="s">
        <v>3</v>
      </c>
      <c r="I25" s="3">
        <v>1</v>
      </c>
      <c r="J25" s="3">
        <v>3920</v>
      </c>
      <c r="K25" s="3"/>
      <c r="L25" s="3"/>
      <c r="M25" s="3">
        <v>15.25</v>
      </c>
      <c r="N25" s="3">
        <f>J25-J25*M25/100</f>
        <v>3322.2</v>
      </c>
      <c r="O25" s="4">
        <f>N25+N25*18/100</f>
        <v>3920.1959999999999</v>
      </c>
      <c r="P25" s="3"/>
    </row>
    <row r="26" spans="1:16" x14ac:dyDescent="0.3">
      <c r="A26" s="2">
        <v>45406</v>
      </c>
      <c r="B26" s="3" t="s">
        <v>172</v>
      </c>
      <c r="C26" s="3" t="s">
        <v>25</v>
      </c>
      <c r="D26" s="3" t="s">
        <v>243</v>
      </c>
      <c r="E26" s="3" t="s">
        <v>219</v>
      </c>
      <c r="F26" s="3" t="s">
        <v>26</v>
      </c>
      <c r="G26" s="3">
        <v>18</v>
      </c>
      <c r="H26" s="3" t="s">
        <v>27</v>
      </c>
      <c r="I26" s="3">
        <v>1</v>
      </c>
      <c r="J26" s="3">
        <v>5794</v>
      </c>
      <c r="K26" s="3"/>
      <c r="L26" s="3"/>
      <c r="M26" s="3">
        <v>15.25</v>
      </c>
      <c r="N26" s="3">
        <f>J26-J26*M26/100</f>
        <v>4910.415</v>
      </c>
      <c r="O26" s="4">
        <f>N26+N26*18/100</f>
        <v>5794.2897000000003</v>
      </c>
      <c r="P26" s="3"/>
    </row>
    <row r="27" spans="1:16" x14ac:dyDescent="0.3">
      <c r="A27" s="2">
        <v>45406</v>
      </c>
      <c r="B27" s="3" t="s">
        <v>143</v>
      </c>
      <c r="C27" s="3" t="s">
        <v>10</v>
      </c>
      <c r="D27" s="3" t="s">
        <v>244</v>
      </c>
      <c r="E27" s="3" t="s">
        <v>219</v>
      </c>
      <c r="F27" s="3" t="s">
        <v>26</v>
      </c>
      <c r="G27" s="3">
        <v>18</v>
      </c>
      <c r="H27" s="3" t="s">
        <v>27</v>
      </c>
      <c r="I27" s="3">
        <v>1</v>
      </c>
      <c r="J27" s="3">
        <v>38266</v>
      </c>
      <c r="K27" s="3"/>
      <c r="L27" s="3"/>
      <c r="M27" s="3">
        <v>15.25</v>
      </c>
      <c r="N27" s="3">
        <f>J27-J27*M27/100</f>
        <v>32430.435000000001</v>
      </c>
      <c r="O27" s="4">
        <f>N27+N27*18/100</f>
        <v>38267.9133</v>
      </c>
      <c r="P27" s="3"/>
    </row>
    <row r="28" spans="1:16" x14ac:dyDescent="0.3">
      <c r="A28" s="2">
        <v>45406</v>
      </c>
      <c r="B28" s="3" t="s">
        <v>145</v>
      </c>
      <c r="C28" s="3" t="s">
        <v>28</v>
      </c>
      <c r="D28" s="3" t="s">
        <v>245</v>
      </c>
      <c r="E28" s="3" t="s">
        <v>219</v>
      </c>
      <c r="F28" s="3" t="s">
        <v>26</v>
      </c>
      <c r="G28" s="3">
        <v>18</v>
      </c>
      <c r="H28" s="3" t="s">
        <v>27</v>
      </c>
      <c r="I28" s="3">
        <v>1</v>
      </c>
      <c r="J28" s="3">
        <v>1717</v>
      </c>
      <c r="K28" s="3"/>
      <c r="L28" s="3"/>
      <c r="M28" s="3">
        <v>15.25</v>
      </c>
      <c r="N28" s="3">
        <f>J28-J28*M28/100</f>
        <v>1455.1575</v>
      </c>
      <c r="O28" s="4">
        <f>N28+N28*18/100</f>
        <v>1717.0858499999999</v>
      </c>
      <c r="P28" s="3"/>
    </row>
    <row r="29" spans="1:16" x14ac:dyDescent="0.3">
      <c r="A29" s="2">
        <v>45406</v>
      </c>
      <c r="B29" s="3" t="s">
        <v>118</v>
      </c>
      <c r="C29" s="3" t="s">
        <v>14</v>
      </c>
      <c r="D29" s="3" t="s">
        <v>246</v>
      </c>
      <c r="E29" s="3" t="s">
        <v>219</v>
      </c>
      <c r="F29" s="3" t="s">
        <v>26</v>
      </c>
      <c r="G29" s="3">
        <v>18</v>
      </c>
      <c r="H29" s="3" t="s">
        <v>27</v>
      </c>
      <c r="I29" s="3">
        <v>1</v>
      </c>
      <c r="J29" s="3">
        <v>8108</v>
      </c>
      <c r="K29" s="3"/>
      <c r="L29" s="3"/>
      <c r="M29" s="3">
        <v>15.25</v>
      </c>
      <c r="N29" s="3">
        <f>J29-J29*M29/100</f>
        <v>6871.53</v>
      </c>
      <c r="O29" s="4">
        <f>N29+N29*18/100</f>
        <v>8108.4053999999996</v>
      </c>
      <c r="P29" s="3"/>
    </row>
    <row r="30" spans="1:16" x14ac:dyDescent="0.3">
      <c r="A30" s="2">
        <v>45406</v>
      </c>
      <c r="B30" s="3" t="s">
        <v>183</v>
      </c>
      <c r="C30" s="3" t="s">
        <v>29</v>
      </c>
      <c r="D30" s="3" t="s">
        <v>247</v>
      </c>
      <c r="E30" s="3" t="s">
        <v>219</v>
      </c>
      <c r="F30" s="3" t="s">
        <v>26</v>
      </c>
      <c r="G30" s="3">
        <v>18</v>
      </c>
      <c r="H30" s="3" t="s">
        <v>27</v>
      </c>
      <c r="I30" s="3">
        <v>1</v>
      </c>
      <c r="J30" s="3">
        <v>12477</v>
      </c>
      <c r="K30" s="3"/>
      <c r="L30" s="3"/>
      <c r="M30" s="3">
        <v>15.25</v>
      </c>
      <c r="N30" s="3">
        <f>J30-J30*M30/100</f>
        <v>10574.2575</v>
      </c>
      <c r="O30" s="4">
        <f>N30+N30*18/100</f>
        <v>12477.62385</v>
      </c>
      <c r="P30" s="3"/>
    </row>
    <row r="31" spans="1:16" x14ac:dyDescent="0.3">
      <c r="A31" s="2">
        <v>45406</v>
      </c>
      <c r="B31" s="3" t="s">
        <v>185</v>
      </c>
      <c r="C31" s="3" t="s">
        <v>30</v>
      </c>
      <c r="D31" s="3" t="s">
        <v>248</v>
      </c>
      <c r="E31" s="3" t="s">
        <v>219</v>
      </c>
      <c r="F31" s="3" t="s">
        <v>26</v>
      </c>
      <c r="G31" s="3">
        <v>18</v>
      </c>
      <c r="H31" s="3" t="s">
        <v>27</v>
      </c>
      <c r="I31" s="3">
        <v>1</v>
      </c>
      <c r="J31" s="3">
        <v>2163</v>
      </c>
      <c r="K31" s="3"/>
      <c r="L31" s="3"/>
      <c r="M31" s="3">
        <v>15.25</v>
      </c>
      <c r="N31" s="3">
        <f>J31-J31*M31/100</f>
        <v>1833.1424999999999</v>
      </c>
      <c r="O31" s="4">
        <f>N31+N31*18/100</f>
        <v>2163.10815</v>
      </c>
      <c r="P31" s="3"/>
    </row>
    <row r="32" spans="1:16" x14ac:dyDescent="0.3">
      <c r="A32" s="2">
        <v>45406</v>
      </c>
      <c r="B32" s="3" t="s">
        <v>200</v>
      </c>
      <c r="C32" s="3" t="s">
        <v>9</v>
      </c>
      <c r="D32" s="3" t="s">
        <v>249</v>
      </c>
      <c r="E32" s="3" t="s">
        <v>219</v>
      </c>
      <c r="F32" s="3" t="s">
        <v>26</v>
      </c>
      <c r="G32" s="3">
        <v>18</v>
      </c>
      <c r="H32" s="3" t="s">
        <v>27</v>
      </c>
      <c r="I32" s="3">
        <v>1</v>
      </c>
      <c r="J32" s="3">
        <v>22955</v>
      </c>
      <c r="K32" s="3"/>
      <c r="L32" s="3"/>
      <c r="M32" s="3">
        <v>15.25</v>
      </c>
      <c r="N32" s="3">
        <f>J32-J32*M32/100</f>
        <v>19454.362499999999</v>
      </c>
      <c r="O32" s="4">
        <f>N32+N32*18/100</f>
        <v>22956.14775</v>
      </c>
      <c r="P32" s="3"/>
    </row>
    <row r="33" spans="1:16" x14ac:dyDescent="0.3">
      <c r="A33" s="2">
        <v>45406</v>
      </c>
      <c r="B33" s="3" t="s">
        <v>199</v>
      </c>
      <c r="C33" s="3" t="s">
        <v>15</v>
      </c>
      <c r="D33" s="3" t="s">
        <v>250</v>
      </c>
      <c r="E33" s="3" t="s">
        <v>219</v>
      </c>
      <c r="F33" s="3" t="s">
        <v>5</v>
      </c>
      <c r="G33" s="3">
        <v>18</v>
      </c>
      <c r="H33" s="3" t="s">
        <v>6</v>
      </c>
      <c r="I33" s="3">
        <v>1</v>
      </c>
      <c r="J33" s="3">
        <v>300</v>
      </c>
      <c r="K33" s="3"/>
      <c r="L33" s="3"/>
      <c r="M33" s="3">
        <v>15.25</v>
      </c>
      <c r="N33" s="3">
        <f>J33-J33*M33/100</f>
        <v>254.25</v>
      </c>
      <c r="O33" s="4">
        <f>N33+N33*18/100</f>
        <v>300.01499999999999</v>
      </c>
      <c r="P33" s="3"/>
    </row>
    <row r="34" spans="1:16" x14ac:dyDescent="0.3">
      <c r="A34" s="2">
        <v>45406</v>
      </c>
      <c r="B34" s="3" t="s">
        <v>137</v>
      </c>
      <c r="C34" s="3" t="s">
        <v>31</v>
      </c>
      <c r="D34" s="3" t="s">
        <v>251</v>
      </c>
      <c r="E34" s="3" t="s">
        <v>219</v>
      </c>
      <c r="F34" s="3" t="s">
        <v>5</v>
      </c>
      <c r="G34" s="3">
        <v>18</v>
      </c>
      <c r="H34" s="3" t="s">
        <v>6</v>
      </c>
      <c r="I34" s="3">
        <v>1</v>
      </c>
      <c r="J34" s="3">
        <v>300</v>
      </c>
      <c r="K34" s="3"/>
      <c r="L34" s="3"/>
      <c r="M34" s="3">
        <v>15.25</v>
      </c>
      <c r="N34" s="3">
        <f>J34-J34*M34/100</f>
        <v>254.25</v>
      </c>
      <c r="O34" s="4">
        <f>N34+N34*18/100</f>
        <v>300.01499999999999</v>
      </c>
      <c r="P34" s="3"/>
    </row>
    <row r="35" spans="1:16" x14ac:dyDescent="0.3">
      <c r="A35" s="2">
        <v>45413</v>
      </c>
      <c r="B35" s="3" t="s">
        <v>127</v>
      </c>
      <c r="C35" s="3" t="s">
        <v>32</v>
      </c>
      <c r="D35" s="3" t="s">
        <v>252</v>
      </c>
      <c r="E35" s="3" t="s">
        <v>219</v>
      </c>
      <c r="F35" s="3" t="s">
        <v>2</v>
      </c>
      <c r="G35" s="3">
        <v>18</v>
      </c>
      <c r="H35" s="3" t="s">
        <v>3</v>
      </c>
      <c r="I35" s="3">
        <v>1</v>
      </c>
      <c r="J35" s="3">
        <v>7045</v>
      </c>
      <c r="K35" s="3"/>
      <c r="L35" s="3"/>
      <c r="M35" s="3">
        <v>15.25</v>
      </c>
      <c r="N35" s="3">
        <f>J35-J35*M35/100</f>
        <v>5970.6374999999998</v>
      </c>
      <c r="O35" s="4">
        <f>N35+N35*18/100</f>
        <v>7045.3522499999999</v>
      </c>
      <c r="P35" s="3"/>
    </row>
    <row r="36" spans="1:16" x14ac:dyDescent="0.3">
      <c r="A36" s="2">
        <v>45414</v>
      </c>
      <c r="B36" s="3" t="s">
        <v>188</v>
      </c>
      <c r="C36" s="3" t="s">
        <v>33</v>
      </c>
      <c r="D36" s="3" t="s">
        <v>253</v>
      </c>
      <c r="E36" s="3" t="s">
        <v>219</v>
      </c>
      <c r="F36" s="3" t="s">
        <v>26</v>
      </c>
      <c r="G36" s="3">
        <v>18</v>
      </c>
      <c r="H36" s="3" t="s">
        <v>27</v>
      </c>
      <c r="I36" s="3">
        <v>1</v>
      </c>
      <c r="J36" s="3">
        <v>13882</v>
      </c>
      <c r="K36" s="3"/>
      <c r="L36" s="3"/>
      <c r="M36" s="3">
        <v>15.25</v>
      </c>
      <c r="N36" s="3">
        <f>J36-J36*M36/100</f>
        <v>11764.994999999999</v>
      </c>
      <c r="O36" s="4">
        <f>N36+N36*18/100</f>
        <v>13882.694099999999</v>
      </c>
      <c r="P36" s="3"/>
    </row>
    <row r="37" spans="1:16" x14ac:dyDescent="0.3">
      <c r="A37" s="2">
        <v>45414</v>
      </c>
      <c r="B37" s="3" t="s">
        <v>147</v>
      </c>
      <c r="C37" s="3" t="s">
        <v>34</v>
      </c>
      <c r="D37" s="3" t="s">
        <v>254</v>
      </c>
      <c r="E37" s="3" t="s">
        <v>219</v>
      </c>
      <c r="F37" s="3" t="s">
        <v>26</v>
      </c>
      <c r="G37" s="3">
        <v>18</v>
      </c>
      <c r="H37" s="3" t="s">
        <v>27</v>
      </c>
      <c r="I37" s="3">
        <v>1</v>
      </c>
      <c r="J37" s="3">
        <v>4624</v>
      </c>
      <c r="K37" s="3"/>
      <c r="L37" s="3"/>
      <c r="M37" s="3">
        <v>15.25</v>
      </c>
      <c r="N37" s="3">
        <f>J37-J37*M37/100</f>
        <v>3918.84</v>
      </c>
      <c r="O37" s="4">
        <f>N37+N37*18/100</f>
        <v>4624.2312000000002</v>
      </c>
      <c r="P37" s="3"/>
    </row>
    <row r="38" spans="1:16" x14ac:dyDescent="0.3">
      <c r="A38" s="2">
        <v>45414</v>
      </c>
      <c r="B38" s="3" t="s">
        <v>181</v>
      </c>
      <c r="C38" s="3" t="s">
        <v>19</v>
      </c>
      <c r="D38" s="3" t="s">
        <v>255</v>
      </c>
      <c r="E38" s="3" t="s">
        <v>219</v>
      </c>
      <c r="F38" s="3" t="s">
        <v>26</v>
      </c>
      <c r="G38" s="3">
        <v>18</v>
      </c>
      <c r="H38" s="3" t="s">
        <v>27</v>
      </c>
      <c r="I38" s="3">
        <v>1</v>
      </c>
      <c r="J38" s="3">
        <v>12872</v>
      </c>
      <c r="K38" s="3"/>
      <c r="L38" s="3"/>
      <c r="M38" s="3">
        <v>15.25</v>
      </c>
      <c r="N38" s="3">
        <f>J38-J38*M38/100</f>
        <v>10909.02</v>
      </c>
      <c r="O38" s="4">
        <f>N38+N38*18/100</f>
        <v>12872.643600000001</v>
      </c>
      <c r="P38" s="3"/>
    </row>
    <row r="39" spans="1:16" x14ac:dyDescent="0.3">
      <c r="A39" s="2">
        <v>45414</v>
      </c>
      <c r="B39" s="3" t="s">
        <v>182</v>
      </c>
      <c r="C39" s="3" t="s">
        <v>11</v>
      </c>
      <c r="D39" s="3" t="s">
        <v>256</v>
      </c>
      <c r="E39" s="3" t="s">
        <v>219</v>
      </c>
      <c r="F39" s="3" t="s">
        <v>26</v>
      </c>
      <c r="G39" s="3">
        <v>18</v>
      </c>
      <c r="H39" s="3" t="s">
        <v>27</v>
      </c>
      <c r="I39" s="3">
        <v>1</v>
      </c>
      <c r="J39" s="3">
        <v>17605</v>
      </c>
      <c r="K39" s="3"/>
      <c r="L39" s="3"/>
      <c r="M39" s="3">
        <v>15.25</v>
      </c>
      <c r="N39" s="3">
        <f>J39-J39*M39/100</f>
        <v>14920.237499999999</v>
      </c>
      <c r="O39" s="4">
        <f>N39+N39*18/100</f>
        <v>17605.880249999998</v>
      </c>
      <c r="P39" s="3"/>
    </row>
    <row r="40" spans="1:16" x14ac:dyDescent="0.3">
      <c r="A40" s="2">
        <v>45414</v>
      </c>
      <c r="B40" s="3" t="s">
        <v>178</v>
      </c>
      <c r="C40" s="3" t="s">
        <v>13</v>
      </c>
      <c r="D40" s="3" t="s">
        <v>257</v>
      </c>
      <c r="E40" s="3" t="s">
        <v>219</v>
      </c>
      <c r="F40" s="3" t="s">
        <v>26</v>
      </c>
      <c r="G40" s="3">
        <v>18</v>
      </c>
      <c r="H40" s="3" t="s">
        <v>27</v>
      </c>
      <c r="I40" s="3">
        <v>1</v>
      </c>
      <c r="J40" s="3">
        <v>10248</v>
      </c>
      <c r="K40" s="3"/>
      <c r="L40" s="3"/>
      <c r="M40" s="3">
        <v>15.25</v>
      </c>
      <c r="N40" s="3">
        <f>J40-J40*M40/100</f>
        <v>8685.18</v>
      </c>
      <c r="O40" s="4">
        <f>N40+N40*18/100</f>
        <v>10248.5124</v>
      </c>
      <c r="P40" s="3"/>
    </row>
    <row r="41" spans="1:16" x14ac:dyDescent="0.3">
      <c r="A41" s="2">
        <v>45414</v>
      </c>
      <c r="B41" s="3" t="s">
        <v>169</v>
      </c>
      <c r="C41" s="3" t="s">
        <v>8</v>
      </c>
      <c r="D41" s="3" t="s">
        <v>258</v>
      </c>
      <c r="E41" s="3" t="s">
        <v>219</v>
      </c>
      <c r="F41" s="3" t="s">
        <v>26</v>
      </c>
      <c r="G41" s="3">
        <v>18</v>
      </c>
      <c r="H41" s="3" t="s">
        <v>27</v>
      </c>
      <c r="I41" s="3">
        <v>1</v>
      </c>
      <c r="J41" s="3">
        <v>24773</v>
      </c>
      <c r="K41" s="3"/>
      <c r="L41" s="3"/>
      <c r="M41" s="3">
        <v>15.25</v>
      </c>
      <c r="N41" s="3">
        <f>J41-J41*M41/100</f>
        <v>20995.1175</v>
      </c>
      <c r="O41" s="4">
        <f>N41+N41*18/100</f>
        <v>24774.238649999999</v>
      </c>
      <c r="P41" s="3"/>
    </row>
    <row r="42" spans="1:16" x14ac:dyDescent="0.3">
      <c r="A42" s="2">
        <v>45414</v>
      </c>
      <c r="B42" s="3" t="s">
        <v>154</v>
      </c>
      <c r="C42" s="3" t="s">
        <v>35</v>
      </c>
      <c r="D42" s="3" t="s">
        <v>259</v>
      </c>
      <c r="E42" s="3" t="s">
        <v>219</v>
      </c>
      <c r="F42" s="3" t="s">
        <v>26</v>
      </c>
      <c r="G42" s="3">
        <v>18</v>
      </c>
      <c r="H42" s="3" t="s">
        <v>27</v>
      </c>
      <c r="I42" s="3">
        <v>1</v>
      </c>
      <c r="J42" s="3">
        <v>7363</v>
      </c>
      <c r="K42" s="3"/>
      <c r="L42" s="3"/>
      <c r="M42" s="3">
        <v>15.25</v>
      </c>
      <c r="N42" s="3">
        <f>J42-J42*M42/100</f>
        <v>6240.1424999999999</v>
      </c>
      <c r="O42" s="4">
        <f>N42+N42*18/100</f>
        <v>7363.3681500000002</v>
      </c>
      <c r="P42" s="3"/>
    </row>
    <row r="43" spans="1:16" x14ac:dyDescent="0.3">
      <c r="A43" s="2">
        <v>45415</v>
      </c>
      <c r="B43" s="3" t="s">
        <v>182</v>
      </c>
      <c r="C43" s="3" t="s">
        <v>11</v>
      </c>
      <c r="D43" s="3" t="s">
        <v>260</v>
      </c>
      <c r="E43" s="3" t="s">
        <v>219</v>
      </c>
      <c r="F43" s="3" t="s">
        <v>2</v>
      </c>
      <c r="G43" s="3">
        <v>18</v>
      </c>
      <c r="H43" s="3" t="s">
        <v>3</v>
      </c>
      <c r="I43" s="3">
        <v>1</v>
      </c>
      <c r="J43" s="3">
        <v>23159</v>
      </c>
      <c r="K43" s="3"/>
      <c r="L43" s="3"/>
      <c r="M43" s="3">
        <v>15.25</v>
      </c>
      <c r="N43" s="3">
        <f>J43-J43*M43/100</f>
        <v>19627.252499999999</v>
      </c>
      <c r="O43" s="4">
        <f>N43+N43*18/100</f>
        <v>23160.157949999997</v>
      </c>
      <c r="P43" s="3"/>
    </row>
    <row r="44" spans="1:16" x14ac:dyDescent="0.3">
      <c r="A44" s="2">
        <v>45415</v>
      </c>
      <c r="B44" s="3" t="s">
        <v>171</v>
      </c>
      <c r="C44" s="3" t="s">
        <v>22</v>
      </c>
      <c r="D44" s="3" t="s">
        <v>261</v>
      </c>
      <c r="E44" s="3" t="s">
        <v>219</v>
      </c>
      <c r="F44" s="3" t="s">
        <v>2</v>
      </c>
      <c r="G44" s="3">
        <v>18</v>
      </c>
      <c r="H44" s="3" t="s">
        <v>3</v>
      </c>
      <c r="I44" s="3">
        <v>1</v>
      </c>
      <c r="J44" s="3">
        <v>11222</v>
      </c>
      <c r="K44" s="3"/>
      <c r="L44" s="3"/>
      <c r="M44" s="3">
        <v>15.25</v>
      </c>
      <c r="N44" s="3">
        <f>J44-J44*M44/100</f>
        <v>9510.6450000000004</v>
      </c>
      <c r="O44" s="4">
        <f>N44+N44*18/100</f>
        <v>11222.561100000001</v>
      </c>
      <c r="P44" s="3"/>
    </row>
    <row r="45" spans="1:16" x14ac:dyDescent="0.3">
      <c r="A45" s="2">
        <v>45415</v>
      </c>
      <c r="B45" s="3" t="s">
        <v>165</v>
      </c>
      <c r="C45" s="3" t="s">
        <v>36</v>
      </c>
      <c r="D45" s="3" t="s">
        <v>262</v>
      </c>
      <c r="E45" s="3" t="s">
        <v>219</v>
      </c>
      <c r="F45" s="3" t="s">
        <v>2</v>
      </c>
      <c r="G45" s="3">
        <v>18</v>
      </c>
      <c r="H45" s="3" t="s">
        <v>3</v>
      </c>
      <c r="I45" s="3">
        <v>1</v>
      </c>
      <c r="J45" s="3">
        <v>2760</v>
      </c>
      <c r="K45" s="3"/>
      <c r="L45" s="3"/>
      <c r="M45" s="3">
        <v>15.25</v>
      </c>
      <c r="N45" s="3">
        <f>J45-J45*M45/100</f>
        <v>2339.1</v>
      </c>
      <c r="O45" s="4">
        <f>N45+N45*18/100</f>
        <v>2760.1379999999999</v>
      </c>
      <c r="P45" s="3"/>
    </row>
    <row r="46" spans="1:16" x14ac:dyDescent="0.3">
      <c r="A46" s="2">
        <v>45415</v>
      </c>
      <c r="B46" s="3" t="s">
        <v>174</v>
      </c>
      <c r="C46" s="3" t="s">
        <v>37</v>
      </c>
      <c r="D46" s="3" t="s">
        <v>263</v>
      </c>
      <c r="E46" s="3" t="s">
        <v>219</v>
      </c>
      <c r="F46" s="3" t="s">
        <v>2</v>
      </c>
      <c r="G46" s="3">
        <v>18</v>
      </c>
      <c r="H46" s="3" t="s">
        <v>3</v>
      </c>
      <c r="I46" s="3">
        <v>1</v>
      </c>
      <c r="J46" s="3">
        <v>32241</v>
      </c>
      <c r="K46" s="3"/>
      <c r="L46" s="3"/>
      <c r="M46" s="3">
        <v>15.25</v>
      </c>
      <c r="N46" s="3">
        <f>J46-J46*M46/100</f>
        <v>27324.247500000001</v>
      </c>
      <c r="O46" s="4">
        <f>N46+N46*18/100</f>
        <v>32242.612050000003</v>
      </c>
      <c r="P46" s="3"/>
    </row>
    <row r="47" spans="1:16" x14ac:dyDescent="0.3">
      <c r="A47" s="2">
        <v>45415</v>
      </c>
      <c r="B47" s="3" t="s">
        <v>174</v>
      </c>
      <c r="C47" s="3" t="s">
        <v>37</v>
      </c>
      <c r="D47" s="3" t="s">
        <v>264</v>
      </c>
      <c r="E47" s="3" t="s">
        <v>219</v>
      </c>
      <c r="F47" s="3" t="s">
        <v>5</v>
      </c>
      <c r="G47" s="3">
        <v>18</v>
      </c>
      <c r="H47" s="3" t="s">
        <v>6</v>
      </c>
      <c r="I47" s="3">
        <v>1</v>
      </c>
      <c r="J47" s="3">
        <v>300</v>
      </c>
      <c r="K47" s="3"/>
      <c r="L47" s="3"/>
      <c r="M47" s="3">
        <v>15.25</v>
      </c>
      <c r="N47" s="3">
        <f>J47-J47*M47/100</f>
        <v>254.25</v>
      </c>
      <c r="O47" s="4">
        <f>N47+N47*18/100</f>
        <v>300.01499999999999</v>
      </c>
      <c r="P47" s="3"/>
    </row>
    <row r="48" spans="1:16" x14ac:dyDescent="0.3">
      <c r="A48" s="2">
        <v>45415</v>
      </c>
      <c r="B48" s="3" t="s">
        <v>199</v>
      </c>
      <c r="C48" s="3" t="s">
        <v>15</v>
      </c>
      <c r="D48" s="3" t="s">
        <v>265</v>
      </c>
      <c r="E48" s="3" t="s">
        <v>219</v>
      </c>
      <c r="F48" s="3" t="s">
        <v>5</v>
      </c>
      <c r="G48" s="3">
        <v>18</v>
      </c>
      <c r="H48" s="3" t="s">
        <v>6</v>
      </c>
      <c r="I48" s="3">
        <v>1</v>
      </c>
      <c r="J48" s="3">
        <v>300</v>
      </c>
      <c r="K48" s="3"/>
      <c r="L48" s="3"/>
      <c r="M48" s="3">
        <v>15.25</v>
      </c>
      <c r="N48" s="3">
        <f>J48-J48*M48/100</f>
        <v>254.25</v>
      </c>
      <c r="O48" s="4">
        <f>N48+N48*18/100</f>
        <v>300.01499999999999</v>
      </c>
      <c r="P48" s="3"/>
    </row>
    <row r="49" spans="1:16" x14ac:dyDescent="0.3">
      <c r="A49" s="2">
        <v>45415</v>
      </c>
      <c r="B49" s="3" t="s">
        <v>191</v>
      </c>
      <c r="C49" s="3" t="s">
        <v>38</v>
      </c>
      <c r="D49" s="3" t="s">
        <v>266</v>
      </c>
      <c r="E49" s="3" t="s">
        <v>219</v>
      </c>
      <c r="F49" s="3" t="s">
        <v>26</v>
      </c>
      <c r="G49" s="3">
        <v>18</v>
      </c>
      <c r="H49" s="3" t="s">
        <v>27</v>
      </c>
      <c r="I49" s="3">
        <v>1</v>
      </c>
      <c r="J49" s="3">
        <v>10271</v>
      </c>
      <c r="K49" s="3"/>
      <c r="L49" s="3"/>
      <c r="M49" s="3">
        <v>15.25</v>
      </c>
      <c r="N49" s="3">
        <f>J49-J49*M49/100</f>
        <v>8704.6725000000006</v>
      </c>
      <c r="O49" s="4">
        <f>N49+N49*18/100</f>
        <v>10271.51355</v>
      </c>
      <c r="P49" s="3"/>
    </row>
    <row r="50" spans="1:16" x14ac:dyDescent="0.3">
      <c r="A50" s="2">
        <v>45416</v>
      </c>
      <c r="B50" s="3" t="s">
        <v>156</v>
      </c>
      <c r="C50" s="3" t="s">
        <v>39</v>
      </c>
      <c r="D50" s="3" t="s">
        <v>267</v>
      </c>
      <c r="E50" s="3" t="s">
        <v>219</v>
      </c>
      <c r="F50" s="3" t="s">
        <v>40</v>
      </c>
      <c r="G50" s="3">
        <v>18</v>
      </c>
      <c r="H50" s="3" t="s">
        <v>41</v>
      </c>
      <c r="I50" s="3">
        <v>1</v>
      </c>
      <c r="J50" s="3">
        <v>515</v>
      </c>
      <c r="K50" s="3"/>
      <c r="L50" s="3"/>
      <c r="M50" s="3">
        <v>15.25</v>
      </c>
      <c r="N50" s="3">
        <f>J50-J50*M50/100</f>
        <v>436.46249999999998</v>
      </c>
      <c r="O50" s="4">
        <f>N50+N50*18/100</f>
        <v>515.02575000000002</v>
      </c>
      <c r="P50" s="3"/>
    </row>
    <row r="51" spans="1:16" x14ac:dyDescent="0.3">
      <c r="A51" s="2">
        <v>45416</v>
      </c>
      <c r="B51" s="3" t="s">
        <v>143</v>
      </c>
      <c r="C51" s="3" t="s">
        <v>10</v>
      </c>
      <c r="D51" s="3" t="s">
        <v>268</v>
      </c>
      <c r="E51" s="3" t="s">
        <v>219</v>
      </c>
      <c r="F51" s="3" t="s">
        <v>40</v>
      </c>
      <c r="G51" s="3">
        <v>18</v>
      </c>
      <c r="H51" s="3" t="s">
        <v>41</v>
      </c>
      <c r="I51" s="3">
        <v>1</v>
      </c>
      <c r="J51" s="3">
        <v>1121</v>
      </c>
      <c r="K51" s="3"/>
      <c r="L51" s="3"/>
      <c r="M51" s="3">
        <v>15.25</v>
      </c>
      <c r="N51" s="3">
        <f>J51-J51*M51/100</f>
        <v>950.04750000000001</v>
      </c>
      <c r="O51" s="4">
        <f>N51+N51*18/100</f>
        <v>1121.0560499999999</v>
      </c>
      <c r="P51" s="3"/>
    </row>
    <row r="52" spans="1:16" x14ac:dyDescent="0.3">
      <c r="A52" s="2">
        <v>45416</v>
      </c>
      <c r="B52" s="3" t="s">
        <v>152</v>
      </c>
      <c r="C52" s="3" t="s">
        <v>42</v>
      </c>
      <c r="D52" s="3" t="s">
        <v>269</v>
      </c>
      <c r="E52" s="3" t="s">
        <v>219</v>
      </c>
      <c r="F52" s="3" t="s">
        <v>40</v>
      </c>
      <c r="G52" s="3">
        <v>18</v>
      </c>
      <c r="H52" s="3" t="s">
        <v>41</v>
      </c>
      <c r="I52" s="3">
        <v>1</v>
      </c>
      <c r="J52" s="3">
        <v>1542</v>
      </c>
      <c r="K52" s="3"/>
      <c r="L52" s="3"/>
      <c r="M52" s="3">
        <v>15.25</v>
      </c>
      <c r="N52" s="3">
        <f>J52-J52*M52/100</f>
        <v>1306.845</v>
      </c>
      <c r="O52" s="4">
        <f>N52+N52*18/100</f>
        <v>1542.0771</v>
      </c>
      <c r="P52" s="3"/>
    </row>
    <row r="53" spans="1:16" x14ac:dyDescent="0.3">
      <c r="A53" s="2">
        <v>45416</v>
      </c>
      <c r="B53" s="3" t="s">
        <v>111</v>
      </c>
      <c r="C53" s="3" t="s">
        <v>43</v>
      </c>
      <c r="D53" s="3" t="s">
        <v>270</v>
      </c>
      <c r="E53" s="3" t="s">
        <v>219</v>
      </c>
      <c r="F53" s="3" t="s">
        <v>26</v>
      </c>
      <c r="G53" s="3">
        <v>18</v>
      </c>
      <c r="H53" s="3" t="s">
        <v>27</v>
      </c>
      <c r="I53" s="3">
        <v>1</v>
      </c>
      <c r="J53" s="3">
        <v>2694</v>
      </c>
      <c r="K53" s="3"/>
      <c r="L53" s="3"/>
      <c r="M53" s="3">
        <v>15.25</v>
      </c>
      <c r="N53" s="3">
        <f>J53-J53*M53/100</f>
        <v>2283.165</v>
      </c>
      <c r="O53" s="4">
        <f>N53+N53*18/100</f>
        <v>2694.1347000000001</v>
      </c>
      <c r="P53" s="3"/>
    </row>
    <row r="54" spans="1:16" x14ac:dyDescent="0.3">
      <c r="A54" s="2">
        <v>45416</v>
      </c>
      <c r="B54" s="3" t="s">
        <v>113</v>
      </c>
      <c r="C54" s="3" t="s">
        <v>44</v>
      </c>
      <c r="D54" s="3" t="s">
        <v>271</v>
      </c>
      <c r="E54" s="3" t="s">
        <v>219</v>
      </c>
      <c r="F54" s="3" t="s">
        <v>26</v>
      </c>
      <c r="G54" s="3">
        <v>18</v>
      </c>
      <c r="H54" s="3" t="s">
        <v>27</v>
      </c>
      <c r="I54" s="3">
        <v>1</v>
      </c>
      <c r="J54" s="3">
        <v>4688</v>
      </c>
      <c r="K54" s="3"/>
      <c r="L54" s="3"/>
      <c r="M54" s="3">
        <v>15.25</v>
      </c>
      <c r="N54" s="3">
        <f>J54-J54*M54/100</f>
        <v>3973.08</v>
      </c>
      <c r="O54" s="4">
        <f>N54+N54*18/100</f>
        <v>4688.2344000000003</v>
      </c>
      <c r="P54" s="3"/>
    </row>
    <row r="55" spans="1:16" x14ac:dyDescent="0.3">
      <c r="A55" s="2">
        <v>45416</v>
      </c>
      <c r="B55" s="3" t="s">
        <v>114</v>
      </c>
      <c r="C55" s="3" t="s">
        <v>45</v>
      </c>
      <c r="D55" s="3" t="s">
        <v>272</v>
      </c>
      <c r="E55" s="3" t="s">
        <v>219</v>
      </c>
      <c r="F55" s="3" t="s">
        <v>26</v>
      </c>
      <c r="G55" s="3">
        <v>18</v>
      </c>
      <c r="H55" s="3" t="s">
        <v>27</v>
      </c>
      <c r="I55" s="3">
        <v>1</v>
      </c>
      <c r="J55" s="3">
        <v>2508.5</v>
      </c>
      <c r="K55" s="3"/>
      <c r="L55" s="3"/>
      <c r="M55" s="3">
        <v>15.25</v>
      </c>
      <c r="N55" s="3">
        <f>J55-J55*M55/100</f>
        <v>2125.9537500000001</v>
      </c>
      <c r="O55" s="4">
        <f>N55+N55*18/100</f>
        <v>2508.6254250000002</v>
      </c>
      <c r="P55" s="3"/>
    </row>
    <row r="56" spans="1:16" x14ac:dyDescent="0.3">
      <c r="A56" s="2">
        <v>45416</v>
      </c>
      <c r="B56" s="3" t="s">
        <v>116</v>
      </c>
      <c r="C56" s="3" t="s">
        <v>46</v>
      </c>
      <c r="D56" s="3" t="s">
        <v>273</v>
      </c>
      <c r="E56" s="3" t="s">
        <v>219</v>
      </c>
      <c r="F56" s="3" t="s">
        <v>26</v>
      </c>
      <c r="G56" s="3">
        <v>18</v>
      </c>
      <c r="H56" s="3" t="s">
        <v>27</v>
      </c>
      <c r="I56" s="3">
        <v>1</v>
      </c>
      <c r="J56" s="3">
        <v>845.56</v>
      </c>
      <c r="K56" s="3"/>
      <c r="L56" s="3"/>
      <c r="M56" s="3">
        <v>15.25</v>
      </c>
      <c r="N56" s="3">
        <f>J56-J56*M56/100</f>
        <v>716.61209999999994</v>
      </c>
      <c r="O56" s="4">
        <f>N56+N56*18/100</f>
        <v>845.60227799999996</v>
      </c>
      <c r="P56" s="3"/>
    </row>
    <row r="57" spans="1:16" x14ac:dyDescent="0.3">
      <c r="A57" s="2">
        <v>45416</v>
      </c>
      <c r="B57" s="3" t="s">
        <v>117</v>
      </c>
      <c r="C57" s="3" t="s">
        <v>21</v>
      </c>
      <c r="D57" s="3" t="s">
        <v>274</v>
      </c>
      <c r="E57" s="3" t="s">
        <v>219</v>
      </c>
      <c r="F57" s="3" t="s">
        <v>26</v>
      </c>
      <c r="G57" s="3">
        <v>18</v>
      </c>
      <c r="H57" s="3" t="s">
        <v>27</v>
      </c>
      <c r="I57" s="3">
        <v>1</v>
      </c>
      <c r="J57" s="3">
        <v>2368</v>
      </c>
      <c r="K57" s="3"/>
      <c r="L57" s="3"/>
      <c r="M57" s="3">
        <v>15.25</v>
      </c>
      <c r="N57" s="3">
        <f>J57-J57*M57/100</f>
        <v>2006.88</v>
      </c>
      <c r="O57" s="4">
        <f>N57+N57*18/100</f>
        <v>2368.1184000000003</v>
      </c>
      <c r="P57" s="3"/>
    </row>
    <row r="58" spans="1:16" x14ac:dyDescent="0.3">
      <c r="A58" s="2">
        <v>45416</v>
      </c>
      <c r="B58" s="3" t="s">
        <v>166</v>
      </c>
      <c r="C58" s="3" t="s">
        <v>47</v>
      </c>
      <c r="D58" s="3" t="s">
        <v>275</v>
      </c>
      <c r="E58" s="3" t="s">
        <v>219</v>
      </c>
      <c r="F58" s="3" t="s">
        <v>26</v>
      </c>
      <c r="G58" s="3">
        <v>18</v>
      </c>
      <c r="H58" s="3" t="s">
        <v>27</v>
      </c>
      <c r="I58" s="3">
        <v>1</v>
      </c>
      <c r="J58" s="3">
        <v>308</v>
      </c>
      <c r="K58" s="3"/>
      <c r="L58" s="3"/>
      <c r="M58" s="3">
        <v>15.25</v>
      </c>
      <c r="N58" s="3">
        <f>J58-J58*M58/100</f>
        <v>261.02999999999997</v>
      </c>
      <c r="O58" s="4">
        <f>N58+N58*18/100</f>
        <v>308.01539999999994</v>
      </c>
      <c r="P58" s="3"/>
    </row>
    <row r="59" spans="1:16" x14ac:dyDescent="0.3">
      <c r="A59" s="2">
        <v>45416</v>
      </c>
      <c r="B59" s="3" t="s">
        <v>189</v>
      </c>
      <c r="C59" s="3" t="s">
        <v>48</v>
      </c>
      <c r="D59" s="3" t="s">
        <v>276</v>
      </c>
      <c r="E59" s="3" t="s">
        <v>219</v>
      </c>
      <c r="F59" s="3" t="s">
        <v>26</v>
      </c>
      <c r="G59" s="3">
        <v>18</v>
      </c>
      <c r="H59" s="3" t="s">
        <v>27</v>
      </c>
      <c r="I59" s="3">
        <v>1</v>
      </c>
      <c r="J59" s="3">
        <v>1278.3</v>
      </c>
      <c r="K59" s="3"/>
      <c r="L59" s="3"/>
      <c r="M59" s="3">
        <v>15.25</v>
      </c>
      <c r="N59" s="3">
        <f>J59-J59*M59/100</f>
        <v>1083.35925</v>
      </c>
      <c r="O59" s="4">
        <f>N59+N59*18/100</f>
        <v>1278.3639149999999</v>
      </c>
      <c r="P59" s="3"/>
    </row>
    <row r="60" spans="1:16" x14ac:dyDescent="0.3">
      <c r="A60" s="2">
        <v>45416</v>
      </c>
      <c r="B60" s="3" t="s">
        <v>121</v>
      </c>
      <c r="C60" s="3" t="s">
        <v>49</v>
      </c>
      <c r="D60" s="3" t="s">
        <v>277</v>
      </c>
      <c r="E60" s="3" t="s">
        <v>219</v>
      </c>
      <c r="F60" s="3" t="s">
        <v>26</v>
      </c>
      <c r="G60" s="3">
        <v>18</v>
      </c>
      <c r="H60" s="3" t="s">
        <v>27</v>
      </c>
      <c r="I60" s="3">
        <v>1</v>
      </c>
      <c r="J60" s="3">
        <v>1762.8</v>
      </c>
      <c r="K60" s="3"/>
      <c r="L60" s="3"/>
      <c r="M60" s="3">
        <v>15.25</v>
      </c>
      <c r="N60" s="3">
        <f>J60-J60*M60/100</f>
        <v>1493.973</v>
      </c>
      <c r="O60" s="4">
        <f>N60+N60*18/100</f>
        <v>1762.88814</v>
      </c>
      <c r="P60" s="3"/>
    </row>
    <row r="61" spans="1:16" x14ac:dyDescent="0.3">
      <c r="A61" s="2">
        <v>45419</v>
      </c>
      <c r="B61" s="3" t="s">
        <v>110</v>
      </c>
      <c r="C61" s="3" t="s">
        <v>50</v>
      </c>
      <c r="D61" s="3" t="s">
        <v>278</v>
      </c>
      <c r="E61" s="3" t="s">
        <v>219</v>
      </c>
      <c r="F61" s="3" t="s">
        <v>26</v>
      </c>
      <c r="G61" s="3">
        <v>18</v>
      </c>
      <c r="H61" s="3" t="s">
        <v>27</v>
      </c>
      <c r="I61" s="3">
        <v>1</v>
      </c>
      <c r="J61" s="3">
        <v>140</v>
      </c>
      <c r="K61" s="3"/>
      <c r="L61" s="3"/>
      <c r="M61" s="3">
        <v>15.25</v>
      </c>
      <c r="N61" s="3">
        <f>J61-J61*M61/100</f>
        <v>118.65</v>
      </c>
      <c r="O61" s="4">
        <f>N61+N61*18/100</f>
        <v>140.00700000000001</v>
      </c>
      <c r="P61" s="3"/>
    </row>
    <row r="62" spans="1:16" x14ac:dyDescent="0.3">
      <c r="A62" s="2">
        <v>45419</v>
      </c>
      <c r="B62" s="3" t="s">
        <v>195</v>
      </c>
      <c r="C62" s="3" t="s">
        <v>12</v>
      </c>
      <c r="D62" s="3" t="s">
        <v>279</v>
      </c>
      <c r="E62" s="3" t="s">
        <v>219</v>
      </c>
      <c r="F62" s="3" t="s">
        <v>5</v>
      </c>
      <c r="G62" s="3">
        <v>18</v>
      </c>
      <c r="H62" s="3" t="s">
        <v>6</v>
      </c>
      <c r="I62" s="3">
        <v>1</v>
      </c>
      <c r="J62" s="3">
        <v>899</v>
      </c>
      <c r="K62" s="3"/>
      <c r="L62" s="3"/>
      <c r="M62" s="3">
        <v>15.25</v>
      </c>
      <c r="N62" s="3">
        <f>J62-J62*M62/100</f>
        <v>761.90250000000003</v>
      </c>
      <c r="O62" s="4">
        <f>N62+N62*18/100</f>
        <v>899.04494999999997</v>
      </c>
      <c r="P62" s="3"/>
    </row>
    <row r="63" spans="1:16" x14ac:dyDescent="0.3">
      <c r="A63" s="2">
        <v>45419</v>
      </c>
      <c r="B63" s="3" t="s">
        <v>113</v>
      </c>
      <c r="C63" s="3" t="s">
        <v>44</v>
      </c>
      <c r="D63" s="3" t="s">
        <v>280</v>
      </c>
      <c r="E63" s="3" t="s">
        <v>219</v>
      </c>
      <c r="F63" s="3" t="s">
        <v>26</v>
      </c>
      <c r="G63" s="3">
        <v>18</v>
      </c>
      <c r="H63" s="3" t="s">
        <v>27</v>
      </c>
      <c r="I63" s="3">
        <v>1</v>
      </c>
      <c r="J63" s="3">
        <v>820</v>
      </c>
      <c r="K63" s="3"/>
      <c r="L63" s="3"/>
      <c r="M63" s="3">
        <v>15.25</v>
      </c>
      <c r="N63" s="3">
        <f>J63-J63*M63/100</f>
        <v>694.95</v>
      </c>
      <c r="O63" s="4">
        <f>N63+N63*18/100</f>
        <v>820.04100000000005</v>
      </c>
      <c r="P63" s="3"/>
    </row>
    <row r="64" spans="1:16" x14ac:dyDescent="0.3">
      <c r="A64" s="2">
        <v>45419</v>
      </c>
      <c r="B64" s="3" t="s">
        <v>158</v>
      </c>
      <c r="C64" s="3" t="s">
        <v>23</v>
      </c>
      <c r="D64" s="3" t="s">
        <v>281</v>
      </c>
      <c r="E64" s="3" t="s">
        <v>219</v>
      </c>
      <c r="F64" s="3" t="s">
        <v>26</v>
      </c>
      <c r="G64" s="3">
        <v>18</v>
      </c>
      <c r="H64" s="3" t="s">
        <v>27</v>
      </c>
      <c r="I64" s="3">
        <v>1</v>
      </c>
      <c r="J64" s="3">
        <v>2131</v>
      </c>
      <c r="K64" s="3"/>
      <c r="L64" s="3"/>
      <c r="M64" s="3">
        <v>15.25</v>
      </c>
      <c r="N64" s="3">
        <f>J64-J64*M64/100</f>
        <v>1806.0225</v>
      </c>
      <c r="O64" s="4">
        <f>N64+N64*18/100</f>
        <v>2131.10655</v>
      </c>
      <c r="P64" s="3"/>
    </row>
    <row r="65" spans="1:16" x14ac:dyDescent="0.3">
      <c r="A65" s="2">
        <v>45419</v>
      </c>
      <c r="B65" s="3" t="s">
        <v>129</v>
      </c>
      <c r="C65" s="3" t="s">
        <v>51</v>
      </c>
      <c r="D65" s="3" t="s">
        <v>282</v>
      </c>
      <c r="E65" s="3" t="s">
        <v>219</v>
      </c>
      <c r="F65" s="3" t="s">
        <v>26</v>
      </c>
      <c r="G65" s="3">
        <v>18</v>
      </c>
      <c r="H65" s="3" t="s">
        <v>27</v>
      </c>
      <c r="I65" s="3">
        <v>1</v>
      </c>
      <c r="J65" s="3">
        <v>551</v>
      </c>
      <c r="K65" s="3"/>
      <c r="L65" s="3"/>
      <c r="M65" s="3">
        <v>15.25</v>
      </c>
      <c r="N65" s="3">
        <f>J65-J65*M65/100</f>
        <v>466.97249999999997</v>
      </c>
      <c r="O65" s="4">
        <f>N65+N65*18/100</f>
        <v>551.02755000000002</v>
      </c>
      <c r="P65" s="3"/>
    </row>
    <row r="66" spans="1:16" x14ac:dyDescent="0.3">
      <c r="A66" s="2">
        <v>45420</v>
      </c>
      <c r="B66" s="3" t="s">
        <v>118</v>
      </c>
      <c r="C66" s="3" t="s">
        <v>14</v>
      </c>
      <c r="D66" s="3" t="s">
        <v>283</v>
      </c>
      <c r="E66" s="3" t="s">
        <v>219</v>
      </c>
      <c r="F66" s="3" t="s">
        <v>5</v>
      </c>
      <c r="G66" s="3">
        <v>18</v>
      </c>
      <c r="H66" s="3" t="s">
        <v>6</v>
      </c>
      <c r="I66" s="3">
        <v>1</v>
      </c>
      <c r="J66" s="3">
        <v>600</v>
      </c>
      <c r="K66" s="3"/>
      <c r="L66" s="3"/>
      <c r="M66" s="3">
        <v>15.25</v>
      </c>
      <c r="N66" s="3">
        <f>J66-J66*M66/100</f>
        <v>508.5</v>
      </c>
      <c r="O66" s="4">
        <f>N66+N66*18/100</f>
        <v>600.03</v>
      </c>
      <c r="P66" s="3"/>
    </row>
    <row r="67" spans="1:16" x14ac:dyDescent="0.3">
      <c r="A67" s="2">
        <v>45420</v>
      </c>
      <c r="B67" s="3" t="s">
        <v>114</v>
      </c>
      <c r="C67" s="3" t="s">
        <v>45</v>
      </c>
      <c r="D67" s="3" t="s">
        <v>284</v>
      </c>
      <c r="E67" s="3" t="s">
        <v>219</v>
      </c>
      <c r="F67" s="3" t="s">
        <v>26</v>
      </c>
      <c r="G67" s="3">
        <v>18</v>
      </c>
      <c r="H67" s="3" t="s">
        <v>27</v>
      </c>
      <c r="I67" s="3">
        <v>1</v>
      </c>
      <c r="J67" s="3">
        <v>1943.2</v>
      </c>
      <c r="K67" s="3"/>
      <c r="L67" s="3"/>
      <c r="M67" s="3">
        <v>15.25</v>
      </c>
      <c r="N67" s="3">
        <f>J67-J67*M67/100</f>
        <v>1646.8620000000001</v>
      </c>
      <c r="O67" s="4">
        <f>N67+N67*18/100</f>
        <v>1943.2971600000001</v>
      </c>
      <c r="P67" s="3"/>
    </row>
    <row r="68" spans="1:16" x14ac:dyDescent="0.3">
      <c r="A68" s="2">
        <v>45421</v>
      </c>
      <c r="B68" s="3" t="s">
        <v>198</v>
      </c>
      <c r="C68" s="3" t="s">
        <v>52</v>
      </c>
      <c r="D68" s="3" t="s">
        <v>285</v>
      </c>
      <c r="E68" s="3" t="s">
        <v>219</v>
      </c>
      <c r="F68" s="3" t="s">
        <v>26</v>
      </c>
      <c r="G68" s="3">
        <v>18</v>
      </c>
      <c r="H68" s="3" t="s">
        <v>27</v>
      </c>
      <c r="I68" s="3">
        <v>1</v>
      </c>
      <c r="J68" s="3">
        <v>342</v>
      </c>
      <c r="K68" s="3"/>
      <c r="L68" s="3"/>
      <c r="M68" s="3">
        <v>15.25</v>
      </c>
      <c r="N68" s="3">
        <f>J68-J68*M68/100</f>
        <v>289.84500000000003</v>
      </c>
      <c r="O68" s="4">
        <f>N68+N68*18/100</f>
        <v>342.01710000000003</v>
      </c>
      <c r="P68" s="3"/>
    </row>
    <row r="69" spans="1:16" x14ac:dyDescent="0.3">
      <c r="A69" s="2">
        <v>45421</v>
      </c>
      <c r="B69" s="3" t="s">
        <v>175</v>
      </c>
      <c r="C69" s="3" t="s">
        <v>53</v>
      </c>
      <c r="D69" s="3" t="s">
        <v>286</v>
      </c>
      <c r="E69" s="3" t="s">
        <v>219</v>
      </c>
      <c r="F69" s="3" t="s">
        <v>26</v>
      </c>
      <c r="G69" s="3">
        <v>18</v>
      </c>
      <c r="H69" s="3" t="s">
        <v>27</v>
      </c>
      <c r="I69" s="3">
        <v>1</v>
      </c>
      <c r="J69" s="3">
        <v>1378</v>
      </c>
      <c r="K69" s="3"/>
      <c r="L69" s="3"/>
      <c r="M69" s="3">
        <v>15.25</v>
      </c>
      <c r="N69" s="3">
        <f>J69-J69*M69/100</f>
        <v>1167.855</v>
      </c>
      <c r="O69" s="4">
        <f>N69+N69*18/100</f>
        <v>1378.0689</v>
      </c>
      <c r="P69" s="3"/>
    </row>
    <row r="70" spans="1:16" x14ac:dyDescent="0.3">
      <c r="A70" s="2">
        <v>45421</v>
      </c>
      <c r="B70" s="3" t="s">
        <v>160</v>
      </c>
      <c r="C70" s="3" t="s">
        <v>54</v>
      </c>
      <c r="D70" s="3" t="s">
        <v>287</v>
      </c>
      <c r="E70" s="3" t="s">
        <v>219</v>
      </c>
      <c r="F70" s="3" t="s">
        <v>26</v>
      </c>
      <c r="G70" s="3">
        <v>18</v>
      </c>
      <c r="H70" s="3" t="s">
        <v>27</v>
      </c>
      <c r="I70" s="3">
        <v>1</v>
      </c>
      <c r="J70" s="3">
        <v>326.89999999999998</v>
      </c>
      <c r="K70" s="3"/>
      <c r="L70" s="3"/>
      <c r="M70" s="3">
        <v>15.25</v>
      </c>
      <c r="N70" s="3">
        <f>J70-J70*M70/100</f>
        <v>277.04774999999995</v>
      </c>
      <c r="O70" s="4">
        <f>N70+N70*18/100</f>
        <v>326.91634499999992</v>
      </c>
      <c r="P70" s="3"/>
    </row>
    <row r="71" spans="1:16" x14ac:dyDescent="0.3">
      <c r="A71" s="2">
        <v>45421</v>
      </c>
      <c r="B71" s="3" t="s">
        <v>163</v>
      </c>
      <c r="C71" s="3" t="s">
        <v>55</v>
      </c>
      <c r="D71" s="3" t="s">
        <v>288</v>
      </c>
      <c r="E71" s="3" t="s">
        <v>219</v>
      </c>
      <c r="F71" s="3" t="s">
        <v>26</v>
      </c>
      <c r="G71" s="3">
        <v>18</v>
      </c>
      <c r="H71" s="3" t="s">
        <v>27</v>
      </c>
      <c r="I71" s="3">
        <v>1</v>
      </c>
      <c r="J71" s="3">
        <v>808.25</v>
      </c>
      <c r="K71" s="3"/>
      <c r="L71" s="3"/>
      <c r="M71" s="3">
        <v>15.25</v>
      </c>
      <c r="N71" s="3">
        <f>J71-J71*M71/100</f>
        <v>684.99187499999994</v>
      </c>
      <c r="O71" s="4">
        <f>N71+N71*18/100</f>
        <v>808.29041249999989</v>
      </c>
      <c r="P71" s="3"/>
    </row>
    <row r="72" spans="1:16" x14ac:dyDescent="0.3">
      <c r="A72" s="2">
        <v>45421</v>
      </c>
      <c r="B72" s="3" t="s">
        <v>170</v>
      </c>
      <c r="C72" s="3" t="s">
        <v>56</v>
      </c>
      <c r="D72" s="3" t="s">
        <v>289</v>
      </c>
      <c r="E72" s="3" t="s">
        <v>219</v>
      </c>
      <c r="F72" s="3" t="s">
        <v>26</v>
      </c>
      <c r="G72" s="3">
        <v>18</v>
      </c>
      <c r="H72" s="3" t="s">
        <v>27</v>
      </c>
      <c r="I72" s="3">
        <v>1</v>
      </c>
      <c r="J72" s="3">
        <v>1179</v>
      </c>
      <c r="K72" s="3"/>
      <c r="L72" s="3"/>
      <c r="M72" s="3">
        <v>15.25</v>
      </c>
      <c r="N72" s="3">
        <f>J72-J72*M72/100</f>
        <v>999.20249999999999</v>
      </c>
      <c r="O72" s="4">
        <f>N72+N72*18/100</f>
        <v>1179.0589500000001</v>
      </c>
      <c r="P72" s="3"/>
    </row>
    <row r="73" spans="1:16" x14ac:dyDescent="0.3">
      <c r="A73" s="2">
        <v>45422</v>
      </c>
      <c r="B73" s="3" t="s">
        <v>136</v>
      </c>
      <c r="C73" s="3" t="s">
        <v>57</v>
      </c>
      <c r="D73" s="3" t="s">
        <v>290</v>
      </c>
      <c r="E73" s="3" t="s">
        <v>219</v>
      </c>
      <c r="F73" s="3" t="s">
        <v>26</v>
      </c>
      <c r="G73" s="3">
        <v>18</v>
      </c>
      <c r="H73" s="3" t="s">
        <v>27</v>
      </c>
      <c r="I73" s="3">
        <v>1</v>
      </c>
      <c r="J73" s="3">
        <v>375</v>
      </c>
      <c r="K73" s="3"/>
      <c r="L73" s="3"/>
      <c r="M73" s="3">
        <v>15.25</v>
      </c>
      <c r="N73" s="3">
        <f>J73-J73*M73/100</f>
        <v>317.8125</v>
      </c>
      <c r="O73" s="4">
        <f>N73+N73*18/100</f>
        <v>375.01875000000001</v>
      </c>
      <c r="P73" s="3"/>
    </row>
    <row r="74" spans="1:16" x14ac:dyDescent="0.3">
      <c r="A74" s="2">
        <v>45422</v>
      </c>
      <c r="B74" s="3" t="s">
        <v>121</v>
      </c>
      <c r="C74" s="3" t="s">
        <v>49</v>
      </c>
      <c r="D74" s="3" t="s">
        <v>291</v>
      </c>
      <c r="E74" s="3" t="s">
        <v>219</v>
      </c>
      <c r="F74" s="3" t="s">
        <v>26</v>
      </c>
      <c r="G74" s="3">
        <v>18</v>
      </c>
      <c r="H74" s="3" t="s">
        <v>27</v>
      </c>
      <c r="I74" s="3">
        <v>1</v>
      </c>
      <c r="J74" s="3">
        <v>1030</v>
      </c>
      <c r="K74" s="3"/>
      <c r="L74" s="3"/>
      <c r="M74" s="3">
        <v>15.25</v>
      </c>
      <c r="N74" s="3">
        <f>J74-J74*M74/100</f>
        <v>872.92499999999995</v>
      </c>
      <c r="O74" s="4">
        <f>N74+N74*18/100</f>
        <v>1030.0515</v>
      </c>
      <c r="P74" s="3"/>
    </row>
    <row r="75" spans="1:16" x14ac:dyDescent="0.3">
      <c r="A75" s="2">
        <v>45422</v>
      </c>
      <c r="B75" s="3" t="s">
        <v>153</v>
      </c>
      <c r="C75" s="3" t="s">
        <v>58</v>
      </c>
      <c r="D75" s="3" t="s">
        <v>292</v>
      </c>
      <c r="E75" s="3" t="s">
        <v>219</v>
      </c>
      <c r="F75" s="3" t="s">
        <v>26</v>
      </c>
      <c r="G75" s="3">
        <v>18</v>
      </c>
      <c r="H75" s="3" t="s">
        <v>27</v>
      </c>
      <c r="I75" s="3">
        <v>1</v>
      </c>
      <c r="J75" s="3">
        <v>263</v>
      </c>
      <c r="K75" s="3"/>
      <c r="L75" s="3"/>
      <c r="M75" s="3">
        <v>15.25</v>
      </c>
      <c r="N75" s="3">
        <f>J75-J75*M75/100</f>
        <v>222.89249999999998</v>
      </c>
      <c r="O75" s="4">
        <f>N75+N75*18/100</f>
        <v>263.01315</v>
      </c>
      <c r="P75" s="3"/>
    </row>
    <row r="76" spans="1:16" x14ac:dyDescent="0.3">
      <c r="A76" s="2">
        <v>45422</v>
      </c>
      <c r="B76" s="3" t="s">
        <v>164</v>
      </c>
      <c r="C76" s="3" t="s">
        <v>59</v>
      </c>
      <c r="D76" s="3" t="s">
        <v>293</v>
      </c>
      <c r="E76" s="3" t="s">
        <v>219</v>
      </c>
      <c r="F76" s="3" t="s">
        <v>26</v>
      </c>
      <c r="G76" s="3">
        <v>18</v>
      </c>
      <c r="H76" s="3" t="s">
        <v>27</v>
      </c>
      <c r="I76" s="3">
        <v>1</v>
      </c>
      <c r="J76" s="3">
        <v>72</v>
      </c>
      <c r="K76" s="3"/>
      <c r="L76" s="3"/>
      <c r="M76" s="3">
        <v>15.25</v>
      </c>
      <c r="N76" s="3">
        <f>J76-J76*M76/100</f>
        <v>61.019999999999996</v>
      </c>
      <c r="O76" s="4">
        <f>N76+N76*18/100</f>
        <v>72.003599999999992</v>
      </c>
      <c r="P76" s="3"/>
    </row>
    <row r="77" spans="1:16" x14ac:dyDescent="0.3">
      <c r="A77" s="2">
        <v>45422</v>
      </c>
      <c r="B77" s="3" t="s">
        <v>111</v>
      </c>
      <c r="C77" s="3" t="s">
        <v>43</v>
      </c>
      <c r="D77" s="3" t="s">
        <v>294</v>
      </c>
      <c r="E77" s="3" t="s">
        <v>219</v>
      </c>
      <c r="F77" s="3" t="s">
        <v>60</v>
      </c>
      <c r="G77" s="3">
        <v>18</v>
      </c>
      <c r="H77" s="3" t="s">
        <v>61</v>
      </c>
      <c r="I77" s="3">
        <v>1</v>
      </c>
      <c r="J77" s="3">
        <v>2330.5</v>
      </c>
      <c r="K77" s="3"/>
      <c r="L77" s="3"/>
      <c r="M77" s="3">
        <v>15.25</v>
      </c>
      <c r="N77" s="3">
        <f>J77-J77*M77/100</f>
        <v>1975.0987500000001</v>
      </c>
      <c r="O77" s="4">
        <f>N77+N77*18/100</f>
        <v>2330.6165250000004</v>
      </c>
      <c r="P77" s="3"/>
    </row>
    <row r="78" spans="1:16" x14ac:dyDescent="0.3">
      <c r="A78" s="2">
        <v>45425</v>
      </c>
      <c r="B78" s="3" t="s">
        <v>191</v>
      </c>
      <c r="C78" s="3" t="s">
        <v>38</v>
      </c>
      <c r="D78" s="3" t="s">
        <v>295</v>
      </c>
      <c r="E78" s="3" t="s">
        <v>219</v>
      </c>
      <c r="F78" s="3" t="s">
        <v>60</v>
      </c>
      <c r="G78" s="3">
        <v>18</v>
      </c>
      <c r="H78" s="3" t="s">
        <v>61</v>
      </c>
      <c r="I78" s="3">
        <v>1</v>
      </c>
      <c r="J78" s="3">
        <v>1303</v>
      </c>
      <c r="K78" s="3"/>
      <c r="L78" s="3"/>
      <c r="M78" s="3">
        <v>15.25</v>
      </c>
      <c r="N78" s="3">
        <f>J78-J78*M78/100</f>
        <v>1104.2925</v>
      </c>
      <c r="O78" s="4">
        <f>N78+N78*18/100</f>
        <v>1303.0651499999999</v>
      </c>
      <c r="P78" s="3"/>
    </row>
    <row r="79" spans="1:16" x14ac:dyDescent="0.3">
      <c r="A79" s="2">
        <v>45425</v>
      </c>
      <c r="B79" s="3" t="s">
        <v>113</v>
      </c>
      <c r="C79" s="3" t="s">
        <v>44</v>
      </c>
      <c r="D79" s="3" t="s">
        <v>296</v>
      </c>
      <c r="E79" s="3" t="s">
        <v>219</v>
      </c>
      <c r="F79" s="3" t="s">
        <v>26</v>
      </c>
      <c r="G79" s="3">
        <v>18</v>
      </c>
      <c r="H79" s="3" t="s">
        <v>27</v>
      </c>
      <c r="I79" s="3">
        <v>1</v>
      </c>
      <c r="J79" s="3">
        <v>1432</v>
      </c>
      <c r="K79" s="3"/>
      <c r="L79" s="3"/>
      <c r="M79" s="3">
        <v>15.25</v>
      </c>
      <c r="N79" s="3">
        <f>J79-J79*M79/100</f>
        <v>1213.6199999999999</v>
      </c>
      <c r="O79" s="4">
        <f>N79+N79*18/100</f>
        <v>1432.0715999999998</v>
      </c>
      <c r="P79" s="3"/>
    </row>
    <row r="80" spans="1:16" x14ac:dyDescent="0.3">
      <c r="A80" s="2">
        <v>45425</v>
      </c>
      <c r="B80" s="3" t="s">
        <v>151</v>
      </c>
      <c r="C80" s="3" t="s">
        <v>62</v>
      </c>
      <c r="D80" s="3" t="s">
        <v>297</v>
      </c>
      <c r="E80" s="3" t="s">
        <v>219</v>
      </c>
      <c r="F80" s="3" t="s">
        <v>26</v>
      </c>
      <c r="G80" s="3">
        <v>18</v>
      </c>
      <c r="H80" s="3" t="s">
        <v>27</v>
      </c>
      <c r="I80" s="3">
        <v>1</v>
      </c>
      <c r="J80" s="3">
        <v>648</v>
      </c>
      <c r="K80" s="3"/>
      <c r="L80" s="3"/>
      <c r="M80" s="3">
        <v>15.25</v>
      </c>
      <c r="N80" s="3">
        <f>J80-J80*M80/100</f>
        <v>549.18000000000006</v>
      </c>
      <c r="O80" s="4">
        <f>N80+N80*18/100</f>
        <v>648.03240000000005</v>
      </c>
      <c r="P80" s="3"/>
    </row>
    <row r="81" spans="1:16" x14ac:dyDescent="0.3">
      <c r="A81" s="2">
        <v>45425</v>
      </c>
      <c r="B81" s="3" t="s">
        <v>129</v>
      </c>
      <c r="C81" s="3" t="s">
        <v>51</v>
      </c>
      <c r="D81" s="3" t="s">
        <v>298</v>
      </c>
      <c r="E81" s="3" t="s">
        <v>219</v>
      </c>
      <c r="F81" s="3" t="s">
        <v>26</v>
      </c>
      <c r="G81" s="3">
        <v>18</v>
      </c>
      <c r="H81" s="3" t="s">
        <v>27</v>
      </c>
      <c r="I81" s="3">
        <v>1</v>
      </c>
      <c r="J81" s="3">
        <v>447</v>
      </c>
      <c r="K81" s="3"/>
      <c r="L81" s="3"/>
      <c r="M81" s="3">
        <v>15.25</v>
      </c>
      <c r="N81" s="3">
        <f>J81-J81*M81/100</f>
        <v>378.83249999999998</v>
      </c>
      <c r="O81" s="4">
        <f>N81+N81*18/100</f>
        <v>447.02234999999996</v>
      </c>
      <c r="P81" s="3"/>
    </row>
    <row r="82" spans="1:16" x14ac:dyDescent="0.3">
      <c r="A82" s="2">
        <v>45425</v>
      </c>
      <c r="B82" s="3" t="s">
        <v>162</v>
      </c>
      <c r="C82" s="3" t="s">
        <v>63</v>
      </c>
      <c r="D82" s="3" t="s">
        <v>299</v>
      </c>
      <c r="E82" s="3" t="s">
        <v>219</v>
      </c>
      <c r="F82" s="3" t="s">
        <v>60</v>
      </c>
      <c r="G82" s="3">
        <v>18</v>
      </c>
      <c r="H82" s="3" t="s">
        <v>61</v>
      </c>
      <c r="I82" s="3">
        <v>1</v>
      </c>
      <c r="J82" s="3">
        <v>1222</v>
      </c>
      <c r="K82" s="3"/>
      <c r="L82" s="3"/>
      <c r="M82" s="3">
        <v>15.25</v>
      </c>
      <c r="N82" s="3">
        <f>J82-J82*M82/100</f>
        <v>1035.645</v>
      </c>
      <c r="O82" s="4">
        <f>N82+N82*18/100</f>
        <v>1222.0610999999999</v>
      </c>
      <c r="P82" s="3"/>
    </row>
    <row r="83" spans="1:16" x14ac:dyDescent="0.3">
      <c r="A83" s="2">
        <v>45426</v>
      </c>
      <c r="B83" s="3" t="s">
        <v>189</v>
      </c>
      <c r="C83" s="3" t="s">
        <v>48</v>
      </c>
      <c r="D83" s="3" t="s">
        <v>300</v>
      </c>
      <c r="E83" s="3" t="s">
        <v>219</v>
      </c>
      <c r="F83" s="3" t="s">
        <v>26</v>
      </c>
      <c r="G83" s="3">
        <v>18</v>
      </c>
      <c r="H83" s="3" t="s">
        <v>27</v>
      </c>
      <c r="I83" s="3">
        <v>1</v>
      </c>
      <c r="J83" s="3">
        <v>106</v>
      </c>
      <c r="K83" s="3"/>
      <c r="L83" s="3"/>
      <c r="M83" s="3">
        <v>15.25</v>
      </c>
      <c r="N83" s="3">
        <f>J83-J83*M83/100</f>
        <v>89.835000000000008</v>
      </c>
      <c r="O83" s="4">
        <f>N83+N83*18/100</f>
        <v>106.00530000000001</v>
      </c>
      <c r="P83" s="3"/>
    </row>
    <row r="84" spans="1:16" x14ac:dyDescent="0.3">
      <c r="A84" s="2">
        <v>45426</v>
      </c>
      <c r="B84" s="3" t="s">
        <v>131</v>
      </c>
      <c r="C84" s="3" t="s">
        <v>64</v>
      </c>
      <c r="D84" s="3" t="s">
        <v>301</v>
      </c>
      <c r="E84" s="3" t="s">
        <v>219</v>
      </c>
      <c r="F84" s="3" t="s">
        <v>26</v>
      </c>
      <c r="G84" s="3">
        <v>18</v>
      </c>
      <c r="H84" s="3" t="s">
        <v>27</v>
      </c>
      <c r="I84" s="3">
        <v>1</v>
      </c>
      <c r="J84" s="3">
        <v>559</v>
      </c>
      <c r="K84" s="3"/>
      <c r="L84" s="3"/>
      <c r="M84" s="3">
        <v>15.25</v>
      </c>
      <c r="N84" s="3">
        <f>J84-J84*M84/100</f>
        <v>473.7525</v>
      </c>
      <c r="O84" s="4">
        <f>N84+N84*18/100</f>
        <v>559.02795000000003</v>
      </c>
      <c r="P84" s="3"/>
    </row>
    <row r="85" spans="1:16" x14ac:dyDescent="0.3">
      <c r="A85" s="2">
        <v>45426</v>
      </c>
      <c r="B85" s="3" t="s">
        <v>194</v>
      </c>
      <c r="C85" s="3" t="s">
        <v>65</v>
      </c>
      <c r="D85" s="3" t="s">
        <v>302</v>
      </c>
      <c r="E85" s="3" t="s">
        <v>219</v>
      </c>
      <c r="F85" s="3" t="s">
        <v>26</v>
      </c>
      <c r="G85" s="3">
        <v>18</v>
      </c>
      <c r="H85" s="3" t="s">
        <v>27</v>
      </c>
      <c r="I85" s="3">
        <v>1</v>
      </c>
      <c r="J85" s="3">
        <v>732</v>
      </c>
      <c r="K85" s="3"/>
      <c r="L85" s="3"/>
      <c r="M85" s="3">
        <v>15.25</v>
      </c>
      <c r="N85" s="3">
        <f>J85-J85*M85/100</f>
        <v>620.37</v>
      </c>
      <c r="O85" s="4">
        <f>N85+N85*18/100</f>
        <v>732.03660000000002</v>
      </c>
      <c r="P85" s="3"/>
    </row>
    <row r="86" spans="1:16" x14ac:dyDescent="0.3">
      <c r="A86" s="2">
        <v>45428</v>
      </c>
      <c r="B86" s="3" t="s">
        <v>170</v>
      </c>
      <c r="C86" s="3" t="s">
        <v>56</v>
      </c>
      <c r="D86" s="3" t="s">
        <v>303</v>
      </c>
      <c r="E86" s="3" t="s">
        <v>219</v>
      </c>
      <c r="F86" s="3" t="s">
        <v>26</v>
      </c>
      <c r="G86" s="3">
        <v>18</v>
      </c>
      <c r="H86" s="3" t="s">
        <v>27</v>
      </c>
      <c r="I86" s="3">
        <v>1</v>
      </c>
      <c r="J86" s="3">
        <v>1042</v>
      </c>
      <c r="K86" s="3"/>
      <c r="L86" s="3"/>
      <c r="M86" s="3">
        <v>15.25</v>
      </c>
      <c r="N86" s="3">
        <f>J86-J86*M86/100</f>
        <v>883.09500000000003</v>
      </c>
      <c r="O86" s="4">
        <f>N86+N86*18/100</f>
        <v>1042.0521000000001</v>
      </c>
      <c r="P86" s="3"/>
    </row>
    <row r="87" spans="1:16" x14ac:dyDescent="0.3">
      <c r="A87" s="2">
        <v>45429</v>
      </c>
      <c r="B87" s="3" t="s">
        <v>162</v>
      </c>
      <c r="C87" s="3" t="s">
        <v>63</v>
      </c>
      <c r="D87" s="3" t="s">
        <v>304</v>
      </c>
      <c r="E87" s="3" t="s">
        <v>219</v>
      </c>
      <c r="F87" s="3" t="s">
        <v>2</v>
      </c>
      <c r="G87" s="3">
        <v>18</v>
      </c>
      <c r="H87" s="3" t="s">
        <v>3</v>
      </c>
      <c r="I87" s="3">
        <v>1</v>
      </c>
      <c r="J87" s="3">
        <v>905</v>
      </c>
      <c r="K87" s="3"/>
      <c r="L87" s="3"/>
      <c r="M87" s="3">
        <v>15.25</v>
      </c>
      <c r="N87" s="3">
        <f>J87-J87*M87/100</f>
        <v>766.98749999999995</v>
      </c>
      <c r="O87" s="4">
        <f>N87+N87*18/100</f>
        <v>905.0452499999999</v>
      </c>
      <c r="P87" s="3"/>
    </row>
    <row r="88" spans="1:16" x14ac:dyDescent="0.3">
      <c r="A88" s="2">
        <v>45429</v>
      </c>
      <c r="B88" s="3" t="s">
        <v>172</v>
      </c>
      <c r="C88" s="3" t="s">
        <v>25</v>
      </c>
      <c r="D88" s="3" t="s">
        <v>305</v>
      </c>
      <c r="E88" s="3" t="s">
        <v>219</v>
      </c>
      <c r="F88" s="3" t="s">
        <v>2</v>
      </c>
      <c r="G88" s="3">
        <v>18</v>
      </c>
      <c r="H88" s="3" t="s">
        <v>3</v>
      </c>
      <c r="I88" s="3">
        <v>1</v>
      </c>
      <c r="J88" s="3">
        <v>1206</v>
      </c>
      <c r="K88" s="3"/>
      <c r="L88" s="3"/>
      <c r="M88" s="3">
        <v>15.25</v>
      </c>
      <c r="N88" s="3">
        <f>J88-J88*M88/100</f>
        <v>1022.085</v>
      </c>
      <c r="O88" s="4">
        <f>N88+N88*18/100</f>
        <v>1206.0603000000001</v>
      </c>
      <c r="P88" s="3"/>
    </row>
    <row r="89" spans="1:16" x14ac:dyDescent="0.3">
      <c r="A89" s="2">
        <v>45429</v>
      </c>
      <c r="B89" s="3" t="s">
        <v>142</v>
      </c>
      <c r="C89" s="3" t="s">
        <v>66</v>
      </c>
      <c r="D89" s="3" t="s">
        <v>306</v>
      </c>
      <c r="E89" s="3" t="s">
        <v>219</v>
      </c>
      <c r="F89" s="3" t="s">
        <v>2</v>
      </c>
      <c r="G89" s="3">
        <v>18</v>
      </c>
      <c r="H89" s="3" t="s">
        <v>3</v>
      </c>
      <c r="I89" s="3">
        <v>1</v>
      </c>
      <c r="J89" s="3">
        <v>3537</v>
      </c>
      <c r="K89" s="3"/>
      <c r="L89" s="3"/>
      <c r="M89" s="3">
        <v>15.25</v>
      </c>
      <c r="N89" s="3">
        <f>J89-J89*M89/100</f>
        <v>2997.6075000000001</v>
      </c>
      <c r="O89" s="4">
        <f>N89+N89*18/100</f>
        <v>3537.1768499999998</v>
      </c>
      <c r="P89" s="3"/>
    </row>
    <row r="90" spans="1:16" x14ac:dyDescent="0.3">
      <c r="A90" s="2">
        <v>45429</v>
      </c>
      <c r="B90" s="3" t="s">
        <v>188</v>
      </c>
      <c r="C90" s="3" t="s">
        <v>33</v>
      </c>
      <c r="D90" s="3" t="s">
        <v>307</v>
      </c>
      <c r="E90" s="3" t="s">
        <v>219</v>
      </c>
      <c r="F90" s="3" t="s">
        <v>2</v>
      </c>
      <c r="G90" s="3">
        <v>18</v>
      </c>
      <c r="H90" s="3" t="s">
        <v>3</v>
      </c>
      <c r="I90" s="3">
        <v>1</v>
      </c>
      <c r="J90" s="3">
        <v>3105</v>
      </c>
      <c r="K90" s="3"/>
      <c r="L90" s="3"/>
      <c r="M90" s="3">
        <v>15.25</v>
      </c>
      <c r="N90" s="3">
        <f>J90-J90*M90/100</f>
        <v>2631.4875000000002</v>
      </c>
      <c r="O90" s="4">
        <f>N90+N90*18/100</f>
        <v>3105.1552500000003</v>
      </c>
      <c r="P90" s="3"/>
    </row>
    <row r="91" spans="1:16" x14ac:dyDescent="0.3">
      <c r="A91" s="2">
        <v>45429</v>
      </c>
      <c r="B91" s="3" t="s">
        <v>179</v>
      </c>
      <c r="C91" s="3" t="s">
        <v>67</v>
      </c>
      <c r="D91" s="3" t="s">
        <v>308</v>
      </c>
      <c r="E91" s="3" t="s">
        <v>219</v>
      </c>
      <c r="F91" s="3" t="s">
        <v>2</v>
      </c>
      <c r="G91" s="3">
        <v>18</v>
      </c>
      <c r="H91" s="3" t="s">
        <v>3</v>
      </c>
      <c r="I91" s="3">
        <v>1</v>
      </c>
      <c r="J91" s="3">
        <v>138</v>
      </c>
      <c r="K91" s="3"/>
      <c r="L91" s="3"/>
      <c r="M91" s="3">
        <v>15.25</v>
      </c>
      <c r="N91" s="3">
        <f>J91-J91*M91/100</f>
        <v>116.955</v>
      </c>
      <c r="O91" s="4">
        <f>N91+N91*18/100</f>
        <v>138.0069</v>
      </c>
      <c r="P91" s="3"/>
    </row>
    <row r="92" spans="1:16" x14ac:dyDescent="0.3">
      <c r="A92" s="2">
        <v>45429</v>
      </c>
      <c r="B92" s="3" t="s">
        <v>134</v>
      </c>
      <c r="C92" s="3" t="s">
        <v>68</v>
      </c>
      <c r="D92" s="3" t="s">
        <v>309</v>
      </c>
      <c r="E92" s="3" t="s">
        <v>219</v>
      </c>
      <c r="F92" s="3" t="s">
        <v>26</v>
      </c>
      <c r="G92" s="3">
        <v>18</v>
      </c>
      <c r="H92" s="3" t="s">
        <v>27</v>
      </c>
      <c r="I92" s="3">
        <v>1</v>
      </c>
      <c r="J92" s="3">
        <v>2908</v>
      </c>
      <c r="K92" s="3"/>
      <c r="L92" s="3"/>
      <c r="M92" s="3">
        <v>15.25</v>
      </c>
      <c r="N92" s="3">
        <f>J92-J92*M92/100</f>
        <v>2464.5299999999997</v>
      </c>
      <c r="O92" s="4">
        <f>N92+N92*18/100</f>
        <v>2908.1453999999994</v>
      </c>
      <c r="P92" s="3"/>
    </row>
    <row r="93" spans="1:16" x14ac:dyDescent="0.3">
      <c r="A93" s="2">
        <v>45429</v>
      </c>
      <c r="B93" s="3" t="s">
        <v>157</v>
      </c>
      <c r="C93" s="3" t="s">
        <v>24</v>
      </c>
      <c r="D93" s="3" t="s">
        <v>310</v>
      </c>
      <c r="E93" s="3" t="s">
        <v>219</v>
      </c>
      <c r="F93" s="3" t="s">
        <v>26</v>
      </c>
      <c r="G93" s="3">
        <v>18</v>
      </c>
      <c r="H93" s="3" t="s">
        <v>27</v>
      </c>
      <c r="I93" s="3">
        <v>1</v>
      </c>
      <c r="J93" s="3">
        <v>2286</v>
      </c>
      <c r="K93" s="3"/>
      <c r="L93" s="3"/>
      <c r="M93" s="3">
        <v>15.25</v>
      </c>
      <c r="N93" s="3">
        <f>J93-J93*M93/100</f>
        <v>1937.385</v>
      </c>
      <c r="O93" s="4">
        <f>N93+N93*18/100</f>
        <v>2286.1143000000002</v>
      </c>
      <c r="P93" s="3"/>
    </row>
    <row r="94" spans="1:16" x14ac:dyDescent="0.3">
      <c r="A94" s="2">
        <v>45430</v>
      </c>
      <c r="B94" s="3" t="s">
        <v>160</v>
      </c>
      <c r="C94" s="3" t="s">
        <v>54</v>
      </c>
      <c r="D94" s="3" t="s">
        <v>318</v>
      </c>
      <c r="E94" s="3" t="s">
        <v>219</v>
      </c>
      <c r="F94" s="3" t="s">
        <v>26</v>
      </c>
      <c r="G94" s="3">
        <v>18</v>
      </c>
      <c r="H94" s="3" t="s">
        <v>27</v>
      </c>
      <c r="I94" s="3">
        <v>1</v>
      </c>
      <c r="J94" s="3">
        <v>445</v>
      </c>
      <c r="K94" s="3"/>
      <c r="L94" s="3"/>
      <c r="M94" s="3">
        <v>15.25</v>
      </c>
      <c r="N94" s="3">
        <f>J94-J94*M94/100</f>
        <v>377.13749999999999</v>
      </c>
      <c r="O94" s="4">
        <f>N94+N94*18/100</f>
        <v>445.02224999999999</v>
      </c>
      <c r="P94" s="3"/>
    </row>
    <row r="95" spans="1:16" x14ac:dyDescent="0.3">
      <c r="A95" s="2">
        <v>45430</v>
      </c>
      <c r="B95" s="3" t="s">
        <v>175</v>
      </c>
      <c r="C95" s="3" t="s">
        <v>53</v>
      </c>
      <c r="D95" s="3" t="s">
        <v>319</v>
      </c>
      <c r="E95" s="3" t="s">
        <v>219</v>
      </c>
      <c r="F95" s="3" t="s">
        <v>26</v>
      </c>
      <c r="G95" s="3">
        <v>18</v>
      </c>
      <c r="H95" s="3" t="s">
        <v>27</v>
      </c>
      <c r="I95" s="3">
        <v>1</v>
      </c>
      <c r="J95" s="3">
        <v>1281</v>
      </c>
      <c r="K95" s="3"/>
      <c r="L95" s="3"/>
      <c r="M95" s="3">
        <v>15.25</v>
      </c>
      <c r="N95" s="3">
        <f>J95-J95*M95/100</f>
        <v>1085.6475</v>
      </c>
      <c r="O95" s="4">
        <f>N95+N95*18/100</f>
        <v>1281.06405</v>
      </c>
      <c r="P95" s="3"/>
    </row>
    <row r="96" spans="1:16" x14ac:dyDescent="0.3">
      <c r="A96" s="2">
        <v>45430</v>
      </c>
      <c r="B96" s="3" t="s">
        <v>138</v>
      </c>
      <c r="C96" s="3" t="s">
        <v>69</v>
      </c>
      <c r="D96" s="3" t="s">
        <v>311</v>
      </c>
      <c r="E96" s="3" t="s">
        <v>219</v>
      </c>
      <c r="F96" s="3" t="s">
        <v>26</v>
      </c>
      <c r="G96" s="3">
        <v>18</v>
      </c>
      <c r="H96" s="3" t="s">
        <v>27</v>
      </c>
      <c r="I96" s="3">
        <v>1</v>
      </c>
      <c r="J96" s="3">
        <v>545</v>
      </c>
      <c r="K96" s="3"/>
      <c r="L96" s="3"/>
      <c r="M96" s="3">
        <v>15.25</v>
      </c>
      <c r="N96" s="3">
        <f>J96-J96*M96/100</f>
        <v>461.88749999999999</v>
      </c>
      <c r="O96" s="4">
        <f>N96+N96*18/100</f>
        <v>545.02724999999998</v>
      </c>
      <c r="P96" s="3"/>
    </row>
    <row r="97" spans="1:16" x14ac:dyDescent="0.3">
      <c r="A97" s="2">
        <v>45430</v>
      </c>
      <c r="B97" s="3" t="s">
        <v>113</v>
      </c>
      <c r="C97" s="3" t="s">
        <v>44</v>
      </c>
      <c r="D97" s="3" t="s">
        <v>312</v>
      </c>
      <c r="E97" s="3" t="s">
        <v>219</v>
      </c>
      <c r="F97" s="3" t="s">
        <v>26</v>
      </c>
      <c r="G97" s="3">
        <v>18</v>
      </c>
      <c r="H97" s="3" t="s">
        <v>27</v>
      </c>
      <c r="I97" s="3">
        <v>1</v>
      </c>
      <c r="J97" s="3">
        <v>1703</v>
      </c>
      <c r="K97" s="3"/>
      <c r="L97" s="3"/>
      <c r="M97" s="3">
        <v>15.25</v>
      </c>
      <c r="N97" s="3">
        <f>J97-J97*M97/100</f>
        <v>1443.2925</v>
      </c>
      <c r="O97" s="4">
        <f>N97+N97*18/100</f>
        <v>1703.0851499999999</v>
      </c>
      <c r="P97" s="3"/>
    </row>
    <row r="98" spans="1:16" x14ac:dyDescent="0.3">
      <c r="A98" s="2">
        <v>45430</v>
      </c>
      <c r="B98" s="3" t="s">
        <v>151</v>
      </c>
      <c r="C98" s="3" t="s">
        <v>62</v>
      </c>
      <c r="D98" s="3" t="s">
        <v>313</v>
      </c>
      <c r="E98" s="3" t="s">
        <v>219</v>
      </c>
      <c r="F98" s="3" t="s">
        <v>26</v>
      </c>
      <c r="G98" s="3">
        <v>18</v>
      </c>
      <c r="H98" s="3" t="s">
        <v>27</v>
      </c>
      <c r="I98" s="3">
        <v>1</v>
      </c>
      <c r="J98" s="3">
        <v>391</v>
      </c>
      <c r="K98" s="3"/>
      <c r="L98" s="3"/>
      <c r="M98" s="3">
        <v>15.25</v>
      </c>
      <c r="N98" s="3">
        <f>J98-J98*M98/100</f>
        <v>331.3725</v>
      </c>
      <c r="O98" s="4">
        <f>N98+N98*18/100</f>
        <v>391.01954999999998</v>
      </c>
      <c r="P98" s="3"/>
    </row>
    <row r="99" spans="1:16" x14ac:dyDescent="0.3">
      <c r="A99" s="2">
        <v>45430</v>
      </c>
      <c r="B99" s="3" t="s">
        <v>198</v>
      </c>
      <c r="C99" s="3" t="s">
        <v>52</v>
      </c>
      <c r="D99" s="3" t="s">
        <v>314</v>
      </c>
      <c r="E99" s="3" t="s">
        <v>219</v>
      </c>
      <c r="F99" s="3" t="s">
        <v>26</v>
      </c>
      <c r="G99" s="3">
        <v>18</v>
      </c>
      <c r="H99" s="3" t="s">
        <v>27</v>
      </c>
      <c r="I99" s="3">
        <v>1</v>
      </c>
      <c r="J99" s="3">
        <v>327</v>
      </c>
      <c r="K99" s="3"/>
      <c r="L99" s="3"/>
      <c r="M99" s="3">
        <v>15.25</v>
      </c>
      <c r="N99" s="3">
        <f>J99-J99*M99/100</f>
        <v>277.13249999999999</v>
      </c>
      <c r="O99" s="4">
        <f>N99+N99*18/100</f>
        <v>327.01634999999999</v>
      </c>
      <c r="P99" s="3"/>
    </row>
    <row r="100" spans="1:16" x14ac:dyDescent="0.3">
      <c r="A100" s="2">
        <v>45430</v>
      </c>
      <c r="B100" s="3" t="s">
        <v>123</v>
      </c>
      <c r="C100" s="3" t="s">
        <v>70</v>
      </c>
      <c r="D100" s="3" t="s">
        <v>315</v>
      </c>
      <c r="E100" s="3" t="s">
        <v>219</v>
      </c>
      <c r="F100" s="3" t="s">
        <v>26</v>
      </c>
      <c r="G100" s="3">
        <v>18</v>
      </c>
      <c r="H100" s="3" t="s">
        <v>27</v>
      </c>
      <c r="I100" s="3">
        <v>1</v>
      </c>
      <c r="J100" s="3">
        <v>1868</v>
      </c>
      <c r="K100" s="3"/>
      <c r="L100" s="3"/>
      <c r="M100" s="3">
        <v>15.25</v>
      </c>
      <c r="N100" s="3">
        <f>J100-J100*M100/100</f>
        <v>1583.13</v>
      </c>
      <c r="O100" s="4">
        <f>N100+N100*18/100</f>
        <v>1868.0934000000002</v>
      </c>
      <c r="P100" s="3"/>
    </row>
    <row r="101" spans="1:16" x14ac:dyDescent="0.3">
      <c r="A101" s="2">
        <v>45430</v>
      </c>
      <c r="B101" s="3" t="s">
        <v>202</v>
      </c>
      <c r="C101" s="3" t="s">
        <v>71</v>
      </c>
      <c r="D101" s="3" t="s">
        <v>316</v>
      </c>
      <c r="E101" s="3" t="s">
        <v>219</v>
      </c>
      <c r="F101" s="3" t="s">
        <v>26</v>
      </c>
      <c r="G101" s="3">
        <v>18</v>
      </c>
      <c r="H101" s="3" t="s">
        <v>27</v>
      </c>
      <c r="I101" s="3">
        <v>1</v>
      </c>
      <c r="J101" s="3">
        <v>238</v>
      </c>
      <c r="K101" s="3"/>
      <c r="L101" s="3"/>
      <c r="M101" s="3">
        <v>15.25</v>
      </c>
      <c r="N101" s="3">
        <f>J101-J101*M101/100</f>
        <v>201.70499999999998</v>
      </c>
      <c r="O101" s="4">
        <f>N101+N101*18/100</f>
        <v>238.01189999999997</v>
      </c>
      <c r="P101" s="3"/>
    </row>
    <row r="102" spans="1:16" x14ac:dyDescent="0.3">
      <c r="A102" s="2">
        <v>45430</v>
      </c>
      <c r="B102" s="3" t="s">
        <v>162</v>
      </c>
      <c r="C102" s="3" t="s">
        <v>63</v>
      </c>
      <c r="D102" s="3" t="s">
        <v>317</v>
      </c>
      <c r="E102" s="3" t="s">
        <v>219</v>
      </c>
      <c r="F102" s="3" t="s">
        <v>26</v>
      </c>
      <c r="G102" s="3">
        <v>18</v>
      </c>
      <c r="H102" s="3" t="s">
        <v>27</v>
      </c>
      <c r="I102" s="3">
        <v>1</v>
      </c>
      <c r="J102" s="3">
        <v>1014</v>
      </c>
      <c r="K102" s="3"/>
      <c r="L102" s="3"/>
      <c r="M102" s="3">
        <v>15.25</v>
      </c>
      <c r="N102" s="3">
        <f>J102-J102*M102/100</f>
        <v>859.36500000000001</v>
      </c>
      <c r="O102" s="4">
        <f>N102+N102*18/100</f>
        <v>1014.0507</v>
      </c>
      <c r="P102" s="3"/>
    </row>
    <row r="103" spans="1:16" x14ac:dyDescent="0.3">
      <c r="A103" s="2">
        <v>45432</v>
      </c>
      <c r="B103" s="3" t="s">
        <v>113</v>
      </c>
      <c r="C103" s="3" t="s">
        <v>44</v>
      </c>
      <c r="D103" s="3" t="s">
        <v>320</v>
      </c>
      <c r="E103" s="3" t="s">
        <v>219</v>
      </c>
      <c r="F103" s="3" t="s">
        <v>2</v>
      </c>
      <c r="G103" s="3">
        <v>18</v>
      </c>
      <c r="H103" s="3" t="s">
        <v>3</v>
      </c>
      <c r="I103" s="3">
        <v>1</v>
      </c>
      <c r="J103" s="3">
        <v>10000</v>
      </c>
      <c r="K103" s="3"/>
      <c r="L103" s="3"/>
      <c r="M103" s="3">
        <v>15.25</v>
      </c>
      <c r="N103" s="3">
        <f>J103-J103*M103/100</f>
        <v>8475</v>
      </c>
      <c r="O103" s="4">
        <f>N103+N103*18/100</f>
        <v>10000.5</v>
      </c>
      <c r="P103" s="3"/>
    </row>
    <row r="104" spans="1:16" x14ac:dyDescent="0.3">
      <c r="A104" s="2">
        <v>45432</v>
      </c>
      <c r="B104" s="3" t="s">
        <v>176</v>
      </c>
      <c r="C104" s="3" t="s">
        <v>72</v>
      </c>
      <c r="D104" s="3" t="s">
        <v>321</v>
      </c>
      <c r="E104" s="3" t="s">
        <v>219</v>
      </c>
      <c r="F104" s="3" t="s">
        <v>26</v>
      </c>
      <c r="G104" s="3">
        <v>18</v>
      </c>
      <c r="H104" s="3" t="s">
        <v>27</v>
      </c>
      <c r="I104" s="3">
        <v>1</v>
      </c>
      <c r="J104" s="3">
        <v>466</v>
      </c>
      <c r="K104" s="3"/>
      <c r="L104" s="3"/>
      <c r="M104" s="3">
        <v>15.25</v>
      </c>
      <c r="N104" s="3">
        <f>J104-J104*M104/100</f>
        <v>394.935</v>
      </c>
      <c r="O104" s="4">
        <f>N104+N104*18/100</f>
        <v>466.02330000000001</v>
      </c>
      <c r="P104" s="3"/>
    </row>
    <row r="105" spans="1:16" x14ac:dyDescent="0.3">
      <c r="A105" s="2">
        <v>45432</v>
      </c>
      <c r="B105" s="3" t="s">
        <v>192</v>
      </c>
      <c r="C105" s="3" t="s">
        <v>73</v>
      </c>
      <c r="D105" s="3" t="s">
        <v>322</v>
      </c>
      <c r="E105" s="3" t="s">
        <v>219</v>
      </c>
      <c r="F105" s="3" t="s">
        <v>26</v>
      </c>
      <c r="G105" s="3">
        <v>18</v>
      </c>
      <c r="H105" s="3" t="s">
        <v>27</v>
      </c>
      <c r="I105" s="3">
        <v>1</v>
      </c>
      <c r="J105" s="3">
        <v>1065</v>
      </c>
      <c r="K105" s="3"/>
      <c r="L105" s="3"/>
      <c r="M105" s="3">
        <v>15.25</v>
      </c>
      <c r="N105" s="3">
        <f>J105-J105*M105/100</f>
        <v>902.58749999999998</v>
      </c>
      <c r="O105" s="4">
        <f>N105+N105*18/100</f>
        <v>1065.0532499999999</v>
      </c>
      <c r="P105" s="3"/>
    </row>
    <row r="106" spans="1:16" x14ac:dyDescent="0.3">
      <c r="A106" s="2">
        <v>45433</v>
      </c>
      <c r="B106" s="3" t="s">
        <v>129</v>
      </c>
      <c r="C106" s="3" t="s">
        <v>51</v>
      </c>
      <c r="D106" s="3" t="s">
        <v>323</v>
      </c>
      <c r="E106" s="3" t="s">
        <v>219</v>
      </c>
      <c r="F106" s="3" t="s">
        <v>26</v>
      </c>
      <c r="G106" s="3">
        <v>18</v>
      </c>
      <c r="H106" s="3" t="s">
        <v>27</v>
      </c>
      <c r="I106" s="3">
        <v>1</v>
      </c>
      <c r="J106" s="3">
        <v>2512</v>
      </c>
      <c r="K106" s="3"/>
      <c r="L106" s="3"/>
      <c r="M106" s="3">
        <v>15.25</v>
      </c>
      <c r="N106" s="3">
        <f>J106-J106*M106/100</f>
        <v>2128.92</v>
      </c>
      <c r="O106" s="4">
        <f>N106+N106*18/100</f>
        <v>2512.1256000000003</v>
      </c>
      <c r="P106" s="3"/>
    </row>
    <row r="107" spans="1:16" x14ac:dyDescent="0.3">
      <c r="A107" s="2">
        <v>45433</v>
      </c>
      <c r="B107" s="3" t="s">
        <v>130</v>
      </c>
      <c r="C107" s="3" t="s">
        <v>74</v>
      </c>
      <c r="D107" s="3" t="s">
        <v>324</v>
      </c>
      <c r="E107" s="3" t="s">
        <v>219</v>
      </c>
      <c r="F107" s="3" t="s">
        <v>26</v>
      </c>
      <c r="G107" s="3">
        <v>18</v>
      </c>
      <c r="H107" s="3" t="s">
        <v>27</v>
      </c>
      <c r="I107" s="3">
        <v>1</v>
      </c>
      <c r="J107" s="3">
        <v>1432</v>
      </c>
      <c r="K107" s="3"/>
      <c r="L107" s="3"/>
      <c r="M107" s="3">
        <v>15.25</v>
      </c>
      <c r="N107" s="3">
        <f>J107-J107*M107/100</f>
        <v>1213.6199999999999</v>
      </c>
      <c r="O107" s="4">
        <f>N107+N107*18/100</f>
        <v>1432.0715999999998</v>
      </c>
      <c r="P107" s="3"/>
    </row>
    <row r="108" spans="1:16" x14ac:dyDescent="0.3">
      <c r="A108" s="2">
        <v>45433</v>
      </c>
      <c r="B108" s="3" t="s">
        <v>133</v>
      </c>
      <c r="C108" s="3" t="s">
        <v>4</v>
      </c>
      <c r="D108" s="3" t="s">
        <v>325</v>
      </c>
      <c r="E108" s="3" t="s">
        <v>219</v>
      </c>
      <c r="F108" s="3" t="s">
        <v>26</v>
      </c>
      <c r="G108" s="3">
        <v>18</v>
      </c>
      <c r="H108" s="3" t="s">
        <v>27</v>
      </c>
      <c r="I108" s="3">
        <v>1</v>
      </c>
      <c r="J108" s="3">
        <v>1052</v>
      </c>
      <c r="K108" s="3"/>
      <c r="L108" s="3"/>
      <c r="M108" s="3">
        <v>15.25</v>
      </c>
      <c r="N108" s="3">
        <f>J108-J108*M108/100</f>
        <v>891.56999999999994</v>
      </c>
      <c r="O108" s="4">
        <f>N108+N108*18/100</f>
        <v>1052.0526</v>
      </c>
      <c r="P108" s="3"/>
    </row>
    <row r="109" spans="1:16" x14ac:dyDescent="0.3">
      <c r="A109" s="2">
        <v>45433</v>
      </c>
      <c r="B109" s="3" t="s">
        <v>134</v>
      </c>
      <c r="C109" s="3" t="s">
        <v>68</v>
      </c>
      <c r="D109" s="3" t="s">
        <v>326</v>
      </c>
      <c r="E109" s="3" t="s">
        <v>219</v>
      </c>
      <c r="F109" s="3" t="s">
        <v>26</v>
      </c>
      <c r="G109" s="3">
        <v>18</v>
      </c>
      <c r="H109" s="3" t="s">
        <v>27</v>
      </c>
      <c r="I109" s="3">
        <v>1</v>
      </c>
      <c r="J109" s="3">
        <v>15180</v>
      </c>
      <c r="K109" s="3"/>
      <c r="L109" s="3"/>
      <c r="M109" s="3">
        <v>15.25</v>
      </c>
      <c r="N109" s="3">
        <f>J109-J109*M109/100</f>
        <v>12865.05</v>
      </c>
      <c r="O109" s="4">
        <f>N109+N109*18/100</f>
        <v>15180.758999999998</v>
      </c>
      <c r="P109" s="3"/>
    </row>
    <row r="110" spans="1:16" x14ac:dyDescent="0.3">
      <c r="A110" s="2">
        <v>45433</v>
      </c>
      <c r="B110" s="3" t="s">
        <v>137</v>
      </c>
      <c r="C110" s="3" t="s">
        <v>31</v>
      </c>
      <c r="D110" s="3" t="s">
        <v>327</v>
      </c>
      <c r="E110" s="3" t="s">
        <v>219</v>
      </c>
      <c r="F110" s="3" t="s">
        <v>26</v>
      </c>
      <c r="G110" s="3">
        <v>18</v>
      </c>
      <c r="H110" s="3" t="s">
        <v>27</v>
      </c>
      <c r="I110" s="3">
        <v>1</v>
      </c>
      <c r="J110" s="3">
        <v>3550</v>
      </c>
      <c r="K110" s="3"/>
      <c r="L110" s="3"/>
      <c r="M110" s="3">
        <v>15.25</v>
      </c>
      <c r="N110" s="3">
        <f>J110-J110*M110/100</f>
        <v>3008.625</v>
      </c>
      <c r="O110" s="4">
        <f>N110+N110*18/100</f>
        <v>3550.1774999999998</v>
      </c>
      <c r="P110" s="3"/>
    </row>
    <row r="111" spans="1:16" x14ac:dyDescent="0.3">
      <c r="A111" s="2">
        <v>45433</v>
      </c>
      <c r="B111" s="3" t="s">
        <v>139</v>
      </c>
      <c r="C111" s="3" t="s">
        <v>75</v>
      </c>
      <c r="D111" s="3" t="s">
        <v>328</v>
      </c>
      <c r="E111" s="3" t="s">
        <v>219</v>
      </c>
      <c r="F111" s="3" t="s">
        <v>26</v>
      </c>
      <c r="G111" s="3">
        <v>18</v>
      </c>
      <c r="H111" s="3" t="s">
        <v>27</v>
      </c>
      <c r="I111" s="3">
        <v>1</v>
      </c>
      <c r="J111" s="3">
        <v>395</v>
      </c>
      <c r="K111" s="3"/>
      <c r="L111" s="3"/>
      <c r="M111" s="3">
        <v>15.25</v>
      </c>
      <c r="N111" s="3">
        <f>J111-J111*M111/100</f>
        <v>334.76249999999999</v>
      </c>
      <c r="O111" s="4">
        <f>N111+N111*18/100</f>
        <v>395.01974999999999</v>
      </c>
      <c r="P111" s="3"/>
    </row>
    <row r="112" spans="1:16" x14ac:dyDescent="0.3">
      <c r="A112" s="2">
        <v>45433</v>
      </c>
      <c r="B112" s="3" t="s">
        <v>140</v>
      </c>
      <c r="C112" s="3" t="s">
        <v>20</v>
      </c>
      <c r="D112" s="3" t="s">
        <v>329</v>
      </c>
      <c r="E112" s="3" t="s">
        <v>219</v>
      </c>
      <c r="F112" s="3" t="s">
        <v>26</v>
      </c>
      <c r="G112" s="3">
        <v>18</v>
      </c>
      <c r="H112" s="3" t="s">
        <v>27</v>
      </c>
      <c r="I112" s="3">
        <v>1</v>
      </c>
      <c r="J112" s="3">
        <v>876</v>
      </c>
      <c r="K112" s="3"/>
      <c r="L112" s="3"/>
      <c r="M112" s="3">
        <v>15.25</v>
      </c>
      <c r="N112" s="3">
        <f>J112-J112*M112/100</f>
        <v>742.41</v>
      </c>
      <c r="O112" s="4">
        <f>N112+N112*18/100</f>
        <v>876.04379999999992</v>
      </c>
      <c r="P112" s="3"/>
    </row>
    <row r="113" spans="1:16" x14ac:dyDescent="0.3">
      <c r="A113" s="2">
        <v>45433</v>
      </c>
      <c r="B113" s="3" t="s">
        <v>141</v>
      </c>
      <c r="C113" s="3" t="s">
        <v>76</v>
      </c>
      <c r="D113" s="3" t="s">
        <v>330</v>
      </c>
      <c r="E113" s="3" t="s">
        <v>219</v>
      </c>
      <c r="F113" s="3" t="s">
        <v>26</v>
      </c>
      <c r="G113" s="3">
        <v>18</v>
      </c>
      <c r="H113" s="3" t="s">
        <v>27</v>
      </c>
      <c r="I113" s="3">
        <v>1</v>
      </c>
      <c r="J113" s="3">
        <v>369</v>
      </c>
      <c r="K113" s="3"/>
      <c r="L113" s="3"/>
      <c r="M113" s="3">
        <v>15.25</v>
      </c>
      <c r="N113" s="3">
        <f>J113-J113*M113/100</f>
        <v>312.72750000000002</v>
      </c>
      <c r="O113" s="4">
        <f>N113+N113*18/100</f>
        <v>369.01845000000003</v>
      </c>
      <c r="P113" s="3"/>
    </row>
    <row r="114" spans="1:16" x14ac:dyDescent="0.3">
      <c r="A114" s="2">
        <v>45433</v>
      </c>
      <c r="B114" s="3" t="s">
        <v>142</v>
      </c>
      <c r="C114" s="3" t="s">
        <v>66</v>
      </c>
      <c r="D114" s="3" t="s">
        <v>331</v>
      </c>
      <c r="E114" s="3" t="s">
        <v>219</v>
      </c>
      <c r="F114" s="3" t="s">
        <v>26</v>
      </c>
      <c r="G114" s="3">
        <v>18</v>
      </c>
      <c r="H114" s="3" t="s">
        <v>27</v>
      </c>
      <c r="I114" s="3">
        <v>1</v>
      </c>
      <c r="J114" s="3">
        <v>3472</v>
      </c>
      <c r="K114" s="3"/>
      <c r="L114" s="3"/>
      <c r="M114" s="3">
        <v>15.25</v>
      </c>
      <c r="N114" s="3">
        <f>J114-J114*M114/100</f>
        <v>2942.52</v>
      </c>
      <c r="O114" s="4">
        <f>N114+N114*18/100</f>
        <v>3472.1736000000001</v>
      </c>
      <c r="P114" s="3"/>
    </row>
    <row r="115" spans="1:16" x14ac:dyDescent="0.3">
      <c r="A115" s="2">
        <v>45433</v>
      </c>
      <c r="B115" s="3" t="s">
        <v>144</v>
      </c>
      <c r="C115" s="3" t="s">
        <v>77</v>
      </c>
      <c r="D115" s="3" t="s">
        <v>332</v>
      </c>
      <c r="E115" s="3" t="s">
        <v>219</v>
      </c>
      <c r="F115" s="3" t="s">
        <v>26</v>
      </c>
      <c r="G115" s="3">
        <v>18</v>
      </c>
      <c r="H115" s="3" t="s">
        <v>27</v>
      </c>
      <c r="I115" s="3">
        <v>1</v>
      </c>
      <c r="J115" s="3">
        <v>191</v>
      </c>
      <c r="K115" s="3"/>
      <c r="L115" s="3"/>
      <c r="M115" s="3">
        <v>15.25</v>
      </c>
      <c r="N115" s="3">
        <f>J115-J115*M115/100</f>
        <v>161.8725</v>
      </c>
      <c r="O115" s="4">
        <f>N115+N115*18/100</f>
        <v>191.00954999999999</v>
      </c>
      <c r="P115" s="3"/>
    </row>
    <row r="116" spans="1:16" x14ac:dyDescent="0.3">
      <c r="A116" s="2">
        <v>45433</v>
      </c>
      <c r="B116" s="3" t="s">
        <v>148</v>
      </c>
      <c r="C116" s="3" t="s">
        <v>78</v>
      </c>
      <c r="D116" s="3" t="s">
        <v>333</v>
      </c>
      <c r="E116" s="3" t="s">
        <v>219</v>
      </c>
      <c r="F116" s="3" t="s">
        <v>26</v>
      </c>
      <c r="G116" s="3">
        <v>18</v>
      </c>
      <c r="H116" s="3" t="s">
        <v>27</v>
      </c>
      <c r="I116" s="3">
        <v>1</v>
      </c>
      <c r="J116" s="3">
        <v>237</v>
      </c>
      <c r="K116" s="3"/>
      <c r="L116" s="3"/>
      <c r="M116" s="3">
        <v>15.25</v>
      </c>
      <c r="N116" s="3">
        <f>J116-J116*M116/100</f>
        <v>200.85750000000002</v>
      </c>
      <c r="O116" s="4">
        <f>N116+N116*18/100</f>
        <v>237.01185000000001</v>
      </c>
      <c r="P116" s="3"/>
    </row>
    <row r="117" spans="1:16" x14ac:dyDescent="0.3">
      <c r="A117" s="2">
        <v>45433</v>
      </c>
      <c r="B117" s="3" t="s">
        <v>149</v>
      </c>
      <c r="C117" s="3" t="s">
        <v>79</v>
      </c>
      <c r="D117" s="3" t="s">
        <v>334</v>
      </c>
      <c r="E117" s="3" t="s">
        <v>219</v>
      </c>
      <c r="F117" s="3" t="s">
        <v>26</v>
      </c>
      <c r="G117" s="3">
        <v>18</v>
      </c>
      <c r="H117" s="3" t="s">
        <v>27</v>
      </c>
      <c r="I117" s="3">
        <v>1</v>
      </c>
      <c r="J117" s="3">
        <v>1086</v>
      </c>
      <c r="K117" s="3"/>
      <c r="L117" s="3"/>
      <c r="M117" s="3">
        <v>15.25</v>
      </c>
      <c r="N117" s="3">
        <f>J117-J117*M117/100</f>
        <v>920.38499999999999</v>
      </c>
      <c r="O117" s="4">
        <f>N117+N117*18/100</f>
        <v>1086.0543</v>
      </c>
      <c r="P117" s="3"/>
    </row>
    <row r="118" spans="1:16" x14ac:dyDescent="0.3">
      <c r="A118" s="2">
        <v>45433</v>
      </c>
      <c r="B118" s="3" t="s">
        <v>151</v>
      </c>
      <c r="C118" s="3" t="s">
        <v>62</v>
      </c>
      <c r="D118" s="3" t="s">
        <v>335</v>
      </c>
      <c r="E118" s="3" t="s">
        <v>219</v>
      </c>
      <c r="F118" s="3" t="s">
        <v>26</v>
      </c>
      <c r="G118" s="3">
        <v>18</v>
      </c>
      <c r="H118" s="3" t="s">
        <v>27</v>
      </c>
      <c r="I118" s="3">
        <v>1</v>
      </c>
      <c r="J118" s="3">
        <v>2628</v>
      </c>
      <c r="K118" s="3"/>
      <c r="L118" s="3"/>
      <c r="M118" s="3">
        <v>15.25</v>
      </c>
      <c r="N118" s="3">
        <f>J118-J118*M118/100</f>
        <v>2227.23</v>
      </c>
      <c r="O118" s="4">
        <f>N118+N118*18/100</f>
        <v>2628.1314000000002</v>
      </c>
      <c r="P118" s="3"/>
    </row>
    <row r="119" spans="1:16" x14ac:dyDescent="0.3">
      <c r="A119" s="2">
        <v>45433</v>
      </c>
      <c r="B119" s="3" t="s">
        <v>153</v>
      </c>
      <c r="C119" s="3" t="s">
        <v>58</v>
      </c>
      <c r="D119" s="3" t="s">
        <v>336</v>
      </c>
      <c r="E119" s="3" t="s">
        <v>219</v>
      </c>
      <c r="F119" s="3" t="s">
        <v>26</v>
      </c>
      <c r="G119" s="3">
        <v>18</v>
      </c>
      <c r="H119" s="3" t="s">
        <v>27</v>
      </c>
      <c r="I119" s="3">
        <v>1</v>
      </c>
      <c r="J119" s="3">
        <v>434</v>
      </c>
      <c r="K119" s="3"/>
      <c r="L119" s="3"/>
      <c r="M119" s="3">
        <v>15.25</v>
      </c>
      <c r="N119" s="3">
        <f>J119-J119*M119/100</f>
        <v>367.815</v>
      </c>
      <c r="O119" s="4">
        <f>N119+N119*18/100</f>
        <v>434.02170000000001</v>
      </c>
      <c r="P119" s="3"/>
    </row>
    <row r="120" spans="1:16" x14ac:dyDescent="0.3">
      <c r="A120" s="2">
        <v>45433</v>
      </c>
      <c r="B120" s="3" t="s">
        <v>157</v>
      </c>
      <c r="C120" s="3" t="s">
        <v>24</v>
      </c>
      <c r="D120" s="3" t="s">
        <v>337</v>
      </c>
      <c r="E120" s="3" t="s">
        <v>219</v>
      </c>
      <c r="F120" s="3" t="s">
        <v>26</v>
      </c>
      <c r="G120" s="3">
        <v>18</v>
      </c>
      <c r="H120" s="3" t="s">
        <v>27</v>
      </c>
      <c r="I120" s="3">
        <v>1</v>
      </c>
      <c r="J120" s="3">
        <v>1544</v>
      </c>
      <c r="K120" s="3"/>
      <c r="L120" s="3"/>
      <c r="M120" s="3">
        <v>15.25</v>
      </c>
      <c r="N120" s="3">
        <f>J120-J120*M120/100</f>
        <v>1308.54</v>
      </c>
      <c r="O120" s="4">
        <f>N120+N120*18/100</f>
        <v>1544.0771999999999</v>
      </c>
      <c r="P120" s="3"/>
    </row>
    <row r="121" spans="1:16" x14ac:dyDescent="0.3">
      <c r="A121" s="2">
        <v>45433</v>
      </c>
      <c r="B121" s="3" t="s">
        <v>158</v>
      </c>
      <c r="C121" s="3" t="s">
        <v>23</v>
      </c>
      <c r="D121" s="3" t="s">
        <v>338</v>
      </c>
      <c r="E121" s="3" t="s">
        <v>219</v>
      </c>
      <c r="F121" s="3" t="s">
        <v>26</v>
      </c>
      <c r="G121" s="3">
        <v>18</v>
      </c>
      <c r="H121" s="3" t="s">
        <v>27</v>
      </c>
      <c r="I121" s="3">
        <v>1</v>
      </c>
      <c r="J121" s="3">
        <v>22990</v>
      </c>
      <c r="K121" s="3"/>
      <c r="L121" s="3"/>
      <c r="M121" s="3">
        <v>15.25</v>
      </c>
      <c r="N121" s="3">
        <f>J121-J121*M121/100</f>
        <v>19484.025000000001</v>
      </c>
      <c r="O121" s="4">
        <f>N121+N121*18/100</f>
        <v>22991.1495</v>
      </c>
      <c r="P121" s="3"/>
    </row>
    <row r="122" spans="1:16" x14ac:dyDescent="0.3">
      <c r="A122" s="2">
        <v>45433</v>
      </c>
      <c r="B122" s="3" t="s">
        <v>160</v>
      </c>
      <c r="C122" s="3" t="s">
        <v>54</v>
      </c>
      <c r="D122" s="3" t="s">
        <v>339</v>
      </c>
      <c r="E122" s="3" t="s">
        <v>219</v>
      </c>
      <c r="F122" s="3" t="s">
        <v>26</v>
      </c>
      <c r="G122" s="3">
        <v>18</v>
      </c>
      <c r="H122" s="3" t="s">
        <v>27</v>
      </c>
      <c r="I122" s="3">
        <v>1</v>
      </c>
      <c r="J122" s="3">
        <v>2953</v>
      </c>
      <c r="K122" s="3"/>
      <c r="L122" s="3"/>
      <c r="M122" s="3">
        <v>15.25</v>
      </c>
      <c r="N122" s="3">
        <f>J122-J122*M122/100</f>
        <v>2502.6675</v>
      </c>
      <c r="O122" s="4">
        <f>N122+N122*18/100</f>
        <v>2953.1476499999999</v>
      </c>
      <c r="P122" s="3"/>
    </row>
    <row r="123" spans="1:16" x14ac:dyDescent="0.3">
      <c r="A123" s="2">
        <v>45433</v>
      </c>
      <c r="B123" s="3" t="s">
        <v>161</v>
      </c>
      <c r="C123" s="3" t="s">
        <v>80</v>
      </c>
      <c r="D123" s="3" t="s">
        <v>340</v>
      </c>
      <c r="E123" s="3" t="s">
        <v>219</v>
      </c>
      <c r="F123" s="3" t="s">
        <v>26</v>
      </c>
      <c r="G123" s="3">
        <v>18</v>
      </c>
      <c r="H123" s="3" t="s">
        <v>27</v>
      </c>
      <c r="I123" s="3">
        <v>1</v>
      </c>
      <c r="J123" s="3">
        <v>425</v>
      </c>
      <c r="K123" s="3"/>
      <c r="L123" s="3"/>
      <c r="M123" s="3">
        <v>15.25</v>
      </c>
      <c r="N123" s="3">
        <f>J123-J123*M123/100</f>
        <v>360.1875</v>
      </c>
      <c r="O123" s="4">
        <f>N123+N123*18/100</f>
        <v>425.02125000000001</v>
      </c>
      <c r="P123" s="3"/>
    </row>
    <row r="124" spans="1:16" x14ac:dyDescent="0.3">
      <c r="A124" s="2">
        <v>45433</v>
      </c>
      <c r="B124" s="3" t="s">
        <v>162</v>
      </c>
      <c r="C124" s="3" t="s">
        <v>63</v>
      </c>
      <c r="D124" s="3" t="s">
        <v>341</v>
      </c>
      <c r="E124" s="3" t="s">
        <v>219</v>
      </c>
      <c r="F124" s="3" t="s">
        <v>26</v>
      </c>
      <c r="G124" s="3">
        <v>18</v>
      </c>
      <c r="H124" s="3" t="s">
        <v>27</v>
      </c>
      <c r="I124" s="3">
        <v>1</v>
      </c>
      <c r="J124" s="3">
        <v>3624</v>
      </c>
      <c r="K124" s="3"/>
      <c r="L124" s="3"/>
      <c r="M124" s="3">
        <v>15.25</v>
      </c>
      <c r="N124" s="3">
        <f>J124-J124*M124/100</f>
        <v>3071.34</v>
      </c>
      <c r="O124" s="4">
        <f>N124+N124*18/100</f>
        <v>3624.1812</v>
      </c>
      <c r="P124" s="3"/>
    </row>
    <row r="125" spans="1:16" x14ac:dyDescent="0.3">
      <c r="A125" s="2">
        <v>45433</v>
      </c>
      <c r="B125" s="3" t="s">
        <v>163</v>
      </c>
      <c r="C125" s="3" t="s">
        <v>55</v>
      </c>
      <c r="D125" s="3" t="s">
        <v>342</v>
      </c>
      <c r="E125" s="3" t="s">
        <v>219</v>
      </c>
      <c r="F125" s="3" t="s">
        <v>26</v>
      </c>
      <c r="G125" s="3">
        <v>18</v>
      </c>
      <c r="H125" s="3" t="s">
        <v>27</v>
      </c>
      <c r="I125" s="3">
        <v>1</v>
      </c>
      <c r="J125" s="3">
        <v>2222</v>
      </c>
      <c r="K125" s="3"/>
      <c r="L125" s="3"/>
      <c r="M125" s="3">
        <v>15.25</v>
      </c>
      <c r="N125" s="3">
        <f>J125-J125*M125/100</f>
        <v>1883.145</v>
      </c>
      <c r="O125" s="4">
        <f>N125+N125*18/100</f>
        <v>2222.1111000000001</v>
      </c>
      <c r="P125" s="3"/>
    </row>
    <row r="126" spans="1:16" x14ac:dyDescent="0.3">
      <c r="A126" s="2">
        <v>45433</v>
      </c>
      <c r="B126" s="3" t="s">
        <v>164</v>
      </c>
      <c r="C126" s="3" t="s">
        <v>59</v>
      </c>
      <c r="D126" s="3" t="s">
        <v>343</v>
      </c>
      <c r="E126" s="3" t="s">
        <v>219</v>
      </c>
      <c r="F126" s="3" t="s">
        <v>26</v>
      </c>
      <c r="G126" s="3">
        <v>18</v>
      </c>
      <c r="H126" s="3" t="s">
        <v>27</v>
      </c>
      <c r="I126" s="3">
        <v>1</v>
      </c>
      <c r="J126" s="3">
        <v>505</v>
      </c>
      <c r="K126" s="3"/>
      <c r="L126" s="3"/>
      <c r="M126" s="3">
        <v>15.25</v>
      </c>
      <c r="N126" s="3">
        <f>J126-J126*M126/100</f>
        <v>427.98750000000001</v>
      </c>
      <c r="O126" s="4">
        <f>N126+N126*18/100</f>
        <v>505.02525000000003</v>
      </c>
      <c r="P126" s="3"/>
    </row>
    <row r="127" spans="1:16" x14ac:dyDescent="0.3">
      <c r="A127" s="2">
        <v>45433</v>
      </c>
      <c r="B127" s="3" t="s">
        <v>170</v>
      </c>
      <c r="C127" s="3" t="s">
        <v>56</v>
      </c>
      <c r="D127" s="3" t="s">
        <v>344</v>
      </c>
      <c r="E127" s="3" t="s">
        <v>219</v>
      </c>
      <c r="F127" s="3" t="s">
        <v>26</v>
      </c>
      <c r="G127" s="3">
        <v>18</v>
      </c>
      <c r="H127" s="3" t="s">
        <v>27</v>
      </c>
      <c r="I127" s="3">
        <v>1</v>
      </c>
      <c r="J127" s="3">
        <v>872</v>
      </c>
      <c r="K127" s="3"/>
      <c r="L127" s="3"/>
      <c r="M127" s="3">
        <v>15.25</v>
      </c>
      <c r="N127" s="3">
        <f>J127-J127*M127/100</f>
        <v>739.02</v>
      </c>
      <c r="O127" s="4">
        <f>N127+N127*18/100</f>
        <v>872.04359999999997</v>
      </c>
      <c r="P127" s="3"/>
    </row>
    <row r="128" spans="1:16" x14ac:dyDescent="0.3">
      <c r="A128" s="2">
        <v>45433</v>
      </c>
      <c r="B128" s="3" t="s">
        <v>175</v>
      </c>
      <c r="C128" s="3" t="s">
        <v>53</v>
      </c>
      <c r="D128" s="3" t="s">
        <v>345</v>
      </c>
      <c r="E128" s="3" t="s">
        <v>219</v>
      </c>
      <c r="F128" s="3" t="s">
        <v>26</v>
      </c>
      <c r="G128" s="3">
        <v>18</v>
      </c>
      <c r="H128" s="3" t="s">
        <v>27</v>
      </c>
      <c r="I128" s="3">
        <v>1</v>
      </c>
      <c r="J128" s="3">
        <v>3424</v>
      </c>
      <c r="K128" s="3"/>
      <c r="L128" s="3"/>
      <c r="M128" s="3">
        <v>15.25</v>
      </c>
      <c r="N128" s="3">
        <f>J128-J128*M128/100</f>
        <v>2901.84</v>
      </c>
      <c r="O128" s="4">
        <f>N128+N128*18/100</f>
        <v>3424.1712000000002</v>
      </c>
      <c r="P128" s="3"/>
    </row>
    <row r="129" spans="1:16" x14ac:dyDescent="0.3">
      <c r="A129" s="2">
        <v>45433</v>
      </c>
      <c r="B129" s="3" t="s">
        <v>176</v>
      </c>
      <c r="C129" s="3" t="s">
        <v>72</v>
      </c>
      <c r="D129" s="3" t="s">
        <v>346</v>
      </c>
      <c r="E129" s="3" t="s">
        <v>219</v>
      </c>
      <c r="F129" s="3" t="s">
        <v>26</v>
      </c>
      <c r="G129" s="3">
        <v>18</v>
      </c>
      <c r="H129" s="3" t="s">
        <v>27</v>
      </c>
      <c r="I129" s="3">
        <v>1</v>
      </c>
      <c r="J129" s="3">
        <v>1060</v>
      </c>
      <c r="K129" s="3"/>
      <c r="L129" s="3"/>
      <c r="M129" s="3">
        <v>15.25</v>
      </c>
      <c r="N129" s="3">
        <f>J129-J129*M129/100</f>
        <v>898.35</v>
      </c>
      <c r="O129" s="4">
        <f>N129+N129*18/100</f>
        <v>1060.0530000000001</v>
      </c>
      <c r="P129" s="3"/>
    </row>
    <row r="130" spans="1:16" x14ac:dyDescent="0.3">
      <c r="A130" s="2">
        <v>45433</v>
      </c>
      <c r="B130" s="3" t="s">
        <v>177</v>
      </c>
      <c r="C130" s="3" t="s">
        <v>81</v>
      </c>
      <c r="D130" s="3" t="s">
        <v>347</v>
      </c>
      <c r="E130" s="3" t="s">
        <v>219</v>
      </c>
      <c r="F130" s="3" t="s">
        <v>26</v>
      </c>
      <c r="G130" s="3">
        <v>18</v>
      </c>
      <c r="H130" s="3" t="s">
        <v>27</v>
      </c>
      <c r="I130" s="3">
        <v>1</v>
      </c>
      <c r="J130" s="3">
        <v>5384</v>
      </c>
      <c r="K130" s="3"/>
      <c r="L130" s="3"/>
      <c r="M130" s="3">
        <v>15.25</v>
      </c>
      <c r="N130" s="3">
        <f>J130-J130*M130/100</f>
        <v>4562.9400000000005</v>
      </c>
      <c r="O130" s="4">
        <f>N130+N130*18/100</f>
        <v>5384.2692000000006</v>
      </c>
      <c r="P130" s="3"/>
    </row>
    <row r="131" spans="1:16" x14ac:dyDescent="0.3">
      <c r="A131" s="2">
        <v>45433</v>
      </c>
      <c r="B131" s="3" t="s">
        <v>202</v>
      </c>
      <c r="C131" s="3" t="s">
        <v>71</v>
      </c>
      <c r="D131" s="3" t="s">
        <v>348</v>
      </c>
      <c r="E131" s="3" t="s">
        <v>219</v>
      </c>
      <c r="F131" s="3" t="s">
        <v>26</v>
      </c>
      <c r="G131" s="3">
        <v>18</v>
      </c>
      <c r="H131" s="3" t="s">
        <v>27</v>
      </c>
      <c r="I131" s="3">
        <v>1</v>
      </c>
      <c r="J131" s="3">
        <v>1066</v>
      </c>
      <c r="K131" s="3"/>
      <c r="L131" s="3"/>
      <c r="M131" s="3">
        <v>15.25</v>
      </c>
      <c r="N131" s="3">
        <f>J131-J131*M131/100</f>
        <v>903.43499999999995</v>
      </c>
      <c r="O131" s="4">
        <f>N131+N131*18/100</f>
        <v>1066.0533</v>
      </c>
      <c r="P131" s="3"/>
    </row>
    <row r="132" spans="1:16" x14ac:dyDescent="0.3">
      <c r="A132" s="2">
        <v>45433</v>
      </c>
      <c r="B132" s="3" t="s">
        <v>198</v>
      </c>
      <c r="C132" s="3" t="s">
        <v>52</v>
      </c>
      <c r="D132" s="3" t="s">
        <v>349</v>
      </c>
      <c r="E132" s="3" t="s">
        <v>219</v>
      </c>
      <c r="F132" s="3" t="s">
        <v>60</v>
      </c>
      <c r="G132" s="3">
        <v>18</v>
      </c>
      <c r="H132" s="3" t="s">
        <v>61</v>
      </c>
      <c r="I132" s="3">
        <v>1</v>
      </c>
      <c r="J132" s="3">
        <v>499</v>
      </c>
      <c r="K132" s="3"/>
      <c r="L132" s="3"/>
      <c r="M132" s="3">
        <v>15.25</v>
      </c>
      <c r="N132" s="3">
        <f>J132-J132*M132/100</f>
        <v>422.90250000000003</v>
      </c>
      <c r="O132" s="4">
        <f>N132+N132*18/100</f>
        <v>499.02495000000005</v>
      </c>
      <c r="P132" s="3"/>
    </row>
    <row r="133" spans="1:16" x14ac:dyDescent="0.3">
      <c r="A133" s="2">
        <v>45433</v>
      </c>
      <c r="B133" s="3" t="s">
        <v>196</v>
      </c>
      <c r="C133" s="3" t="s">
        <v>82</v>
      </c>
      <c r="D133" s="3" t="s">
        <v>350</v>
      </c>
      <c r="E133" s="3" t="s">
        <v>219</v>
      </c>
      <c r="F133" s="3" t="s">
        <v>26</v>
      </c>
      <c r="G133" s="3">
        <v>18</v>
      </c>
      <c r="H133" s="3" t="s">
        <v>27</v>
      </c>
      <c r="I133" s="3">
        <v>1</v>
      </c>
      <c r="J133" s="3">
        <v>1458</v>
      </c>
      <c r="K133" s="3"/>
      <c r="L133" s="3"/>
      <c r="M133" s="3">
        <v>15.25</v>
      </c>
      <c r="N133" s="3">
        <f>J133-J133*M133/100</f>
        <v>1235.655</v>
      </c>
      <c r="O133" s="4">
        <f>N133+N133*18/100</f>
        <v>1458.0728999999999</v>
      </c>
      <c r="P133" s="3"/>
    </row>
    <row r="134" spans="1:16" x14ac:dyDescent="0.3">
      <c r="A134" s="2">
        <v>45434</v>
      </c>
      <c r="B134" s="3" t="s">
        <v>139</v>
      </c>
      <c r="C134" s="3" t="s">
        <v>75</v>
      </c>
      <c r="D134" s="3" t="s">
        <v>351</v>
      </c>
      <c r="E134" s="3" t="s">
        <v>219</v>
      </c>
      <c r="F134" s="3" t="s">
        <v>26</v>
      </c>
      <c r="G134" s="3">
        <v>18</v>
      </c>
      <c r="H134" s="3" t="s">
        <v>27</v>
      </c>
      <c r="I134" s="3">
        <v>1</v>
      </c>
      <c r="J134" s="3">
        <v>187</v>
      </c>
      <c r="K134" s="3"/>
      <c r="L134" s="3"/>
      <c r="M134" s="3">
        <v>15.25</v>
      </c>
      <c r="N134" s="3">
        <f>J134-J134*M134/100</f>
        <v>158.48250000000002</v>
      </c>
      <c r="O134" s="4">
        <f>N134+N134*18/100</f>
        <v>187.00935000000001</v>
      </c>
      <c r="P134" s="3"/>
    </row>
    <row r="135" spans="1:16" x14ac:dyDescent="0.3">
      <c r="A135" s="2">
        <v>45434</v>
      </c>
      <c r="B135" s="3" t="s">
        <v>114</v>
      </c>
      <c r="C135" s="3" t="s">
        <v>45</v>
      </c>
      <c r="D135" s="3" t="s">
        <v>352</v>
      </c>
      <c r="E135" s="3" t="s">
        <v>219</v>
      </c>
      <c r="F135" s="3" t="s">
        <v>26</v>
      </c>
      <c r="G135" s="3">
        <v>18</v>
      </c>
      <c r="H135" s="3" t="s">
        <v>27</v>
      </c>
      <c r="I135" s="3">
        <v>1</v>
      </c>
      <c r="J135" s="3">
        <v>2402</v>
      </c>
      <c r="K135" s="3"/>
      <c r="L135" s="3"/>
      <c r="M135" s="3">
        <v>15.25</v>
      </c>
      <c r="N135" s="3">
        <f>J135-J135*M135/100</f>
        <v>2035.6949999999999</v>
      </c>
      <c r="O135" s="4">
        <f>N135+N135*18/100</f>
        <v>2402.1201000000001</v>
      </c>
      <c r="P135" s="3"/>
    </row>
    <row r="136" spans="1:16" x14ac:dyDescent="0.3">
      <c r="A136" s="2">
        <v>45434</v>
      </c>
      <c r="B136" s="3" t="s">
        <v>138</v>
      </c>
      <c r="C136" s="3" t="s">
        <v>69</v>
      </c>
      <c r="D136" s="3" t="s">
        <v>353</v>
      </c>
      <c r="E136" s="3" t="s">
        <v>219</v>
      </c>
      <c r="F136" s="3" t="s">
        <v>26</v>
      </c>
      <c r="G136" s="3">
        <v>18</v>
      </c>
      <c r="H136" s="3" t="s">
        <v>27</v>
      </c>
      <c r="I136" s="3">
        <v>1</v>
      </c>
      <c r="J136" s="3">
        <v>164</v>
      </c>
      <c r="K136" s="3"/>
      <c r="L136" s="3"/>
      <c r="M136" s="3">
        <v>15.25</v>
      </c>
      <c r="N136" s="3">
        <f>J136-J136*M136/100</f>
        <v>138.99</v>
      </c>
      <c r="O136" s="4">
        <f>N136+N136*18/100</f>
        <v>164.00820000000002</v>
      </c>
      <c r="P136" s="3"/>
    </row>
    <row r="137" spans="1:16" x14ac:dyDescent="0.3">
      <c r="A137" s="2">
        <v>45434</v>
      </c>
      <c r="B137" s="3" t="s">
        <v>130</v>
      </c>
      <c r="C137" s="3" t="s">
        <v>74</v>
      </c>
      <c r="D137" s="3" t="s">
        <v>354</v>
      </c>
      <c r="E137" s="3" t="s">
        <v>219</v>
      </c>
      <c r="F137" s="3" t="s">
        <v>26</v>
      </c>
      <c r="G137" s="3">
        <v>18</v>
      </c>
      <c r="H137" s="3" t="s">
        <v>27</v>
      </c>
      <c r="I137" s="3">
        <v>1</v>
      </c>
      <c r="J137" s="3">
        <v>898</v>
      </c>
      <c r="K137" s="3"/>
      <c r="L137" s="3"/>
      <c r="M137" s="3">
        <v>15.25</v>
      </c>
      <c r="N137" s="3">
        <f>J137-J137*M137/100</f>
        <v>761.05500000000006</v>
      </c>
      <c r="O137" s="4">
        <f>N137+N137*18/100</f>
        <v>898.0449000000001</v>
      </c>
      <c r="P137" s="3"/>
    </row>
    <row r="138" spans="1:16" x14ac:dyDescent="0.3">
      <c r="A138" s="2">
        <v>45434</v>
      </c>
      <c r="B138" s="3" t="s">
        <v>150</v>
      </c>
      <c r="C138" s="3" t="s">
        <v>83</v>
      </c>
      <c r="D138" s="3" t="s">
        <v>355</v>
      </c>
      <c r="E138" s="3" t="s">
        <v>219</v>
      </c>
      <c r="F138" s="3" t="s">
        <v>26</v>
      </c>
      <c r="G138" s="3">
        <v>18</v>
      </c>
      <c r="H138" s="3" t="s">
        <v>27</v>
      </c>
      <c r="I138" s="3">
        <v>1</v>
      </c>
      <c r="J138" s="3">
        <v>9039</v>
      </c>
      <c r="K138" s="3"/>
      <c r="L138" s="3"/>
      <c r="M138" s="3">
        <v>15.25</v>
      </c>
      <c r="N138" s="3">
        <f>J138-J138*M138/100</f>
        <v>7660.5524999999998</v>
      </c>
      <c r="O138" s="4">
        <f>N138+N138*18/100</f>
        <v>9039.4519500000006</v>
      </c>
      <c r="P138" s="3"/>
    </row>
    <row r="139" spans="1:16" x14ac:dyDescent="0.3">
      <c r="A139" s="2">
        <v>45435</v>
      </c>
      <c r="B139" s="3" t="s">
        <v>124</v>
      </c>
      <c r="C139" s="3" t="s">
        <v>84</v>
      </c>
      <c r="D139" s="3" t="s">
        <v>356</v>
      </c>
      <c r="E139" s="3" t="s">
        <v>219</v>
      </c>
      <c r="F139" s="3" t="s">
        <v>506</v>
      </c>
      <c r="G139" s="3">
        <v>18</v>
      </c>
      <c r="H139" s="3" t="s">
        <v>507</v>
      </c>
      <c r="I139" s="3">
        <v>1</v>
      </c>
      <c r="J139" s="3">
        <v>0</v>
      </c>
      <c r="K139" s="3"/>
      <c r="L139" s="3"/>
      <c r="M139" s="3">
        <v>15.25</v>
      </c>
      <c r="N139" s="3">
        <f>J139-J139*M139/100</f>
        <v>0</v>
      </c>
      <c r="O139" s="4">
        <f>N139+N139*18/100</f>
        <v>0</v>
      </c>
      <c r="P139" s="3"/>
    </row>
    <row r="140" spans="1:16" x14ac:dyDescent="0.3">
      <c r="A140" s="2">
        <v>45435</v>
      </c>
      <c r="B140" s="3" t="s">
        <v>155</v>
      </c>
      <c r="C140" s="3" t="s">
        <v>85</v>
      </c>
      <c r="D140" s="3" t="s">
        <v>357</v>
      </c>
      <c r="E140" s="3" t="s">
        <v>219</v>
      </c>
      <c r="F140" s="3" t="s">
        <v>16</v>
      </c>
      <c r="G140" s="3">
        <v>18</v>
      </c>
      <c r="H140" s="3" t="s">
        <v>17</v>
      </c>
      <c r="I140" s="3">
        <v>1</v>
      </c>
      <c r="J140" s="3">
        <v>233</v>
      </c>
      <c r="K140" s="3"/>
      <c r="L140" s="3"/>
      <c r="M140" s="3">
        <v>15.25</v>
      </c>
      <c r="N140" s="3">
        <f>J140-J140*M140/100</f>
        <v>197.4675</v>
      </c>
      <c r="O140" s="4">
        <f>N140+N140*18/100</f>
        <v>233.01165</v>
      </c>
      <c r="P140" s="3"/>
    </row>
    <row r="141" spans="1:16" x14ac:dyDescent="0.3">
      <c r="A141" s="2">
        <v>45435</v>
      </c>
      <c r="B141" s="3" t="s">
        <v>170</v>
      </c>
      <c r="C141" s="3" t="s">
        <v>56</v>
      </c>
      <c r="D141" s="3" t="s">
        <v>358</v>
      </c>
      <c r="E141" s="3" t="s">
        <v>219</v>
      </c>
      <c r="F141" s="3" t="s">
        <v>26</v>
      </c>
      <c r="G141" s="3">
        <v>18</v>
      </c>
      <c r="H141" s="3" t="s">
        <v>27</v>
      </c>
      <c r="I141" s="3">
        <v>1</v>
      </c>
      <c r="J141" s="3">
        <v>770</v>
      </c>
      <c r="K141" s="3"/>
      <c r="L141" s="3"/>
      <c r="M141" s="3">
        <v>15.25</v>
      </c>
      <c r="N141" s="3">
        <f>J141-J141*M141/100</f>
        <v>652.57500000000005</v>
      </c>
      <c r="O141" s="4">
        <f>N141+N141*18/100</f>
        <v>770.03850000000011</v>
      </c>
      <c r="P141" s="3"/>
    </row>
    <row r="142" spans="1:16" x14ac:dyDescent="0.3">
      <c r="A142" s="2">
        <v>45435</v>
      </c>
      <c r="B142" s="3" t="s">
        <v>121</v>
      </c>
      <c r="C142" s="3" t="s">
        <v>49</v>
      </c>
      <c r="D142" s="3" t="s">
        <v>359</v>
      </c>
      <c r="E142" s="3" t="s">
        <v>219</v>
      </c>
      <c r="F142" s="3" t="s">
        <v>26</v>
      </c>
      <c r="G142" s="3">
        <v>18</v>
      </c>
      <c r="H142" s="3" t="s">
        <v>27</v>
      </c>
      <c r="I142" s="3">
        <v>1</v>
      </c>
      <c r="J142" s="3">
        <v>155</v>
      </c>
      <c r="K142" s="3"/>
      <c r="L142" s="3"/>
      <c r="M142" s="3">
        <v>15.25</v>
      </c>
      <c r="N142" s="3">
        <f>J142-J142*M142/100</f>
        <v>131.36250000000001</v>
      </c>
      <c r="O142" s="4">
        <f>N142+N142*18/100</f>
        <v>155.00775000000002</v>
      </c>
      <c r="P142" s="3"/>
    </row>
    <row r="143" spans="1:16" x14ac:dyDescent="0.3">
      <c r="A143" s="2">
        <v>45435</v>
      </c>
      <c r="B143" s="3" t="s">
        <v>175</v>
      </c>
      <c r="C143" s="3" t="s">
        <v>53</v>
      </c>
      <c r="D143" s="3" t="s">
        <v>360</v>
      </c>
      <c r="E143" s="3" t="s">
        <v>219</v>
      </c>
      <c r="F143" s="3" t="s">
        <v>26</v>
      </c>
      <c r="G143" s="3">
        <v>18</v>
      </c>
      <c r="H143" s="3" t="s">
        <v>27</v>
      </c>
      <c r="I143" s="3">
        <v>1</v>
      </c>
      <c r="J143" s="3">
        <v>1060</v>
      </c>
      <c r="K143" s="3"/>
      <c r="L143" s="3"/>
      <c r="M143" s="3">
        <v>15.25</v>
      </c>
      <c r="N143" s="3">
        <f>J143-J143*M143/100</f>
        <v>898.35</v>
      </c>
      <c r="O143" s="4">
        <f>N143+N143*18/100</f>
        <v>1060.0530000000001</v>
      </c>
      <c r="P143" s="3"/>
    </row>
    <row r="144" spans="1:16" x14ac:dyDescent="0.3">
      <c r="A144" s="2">
        <v>45435</v>
      </c>
      <c r="B144" s="3" t="s">
        <v>198</v>
      </c>
      <c r="C144" s="3" t="s">
        <v>52</v>
      </c>
      <c r="D144" s="3" t="s">
        <v>361</v>
      </c>
      <c r="E144" s="3" t="s">
        <v>219</v>
      </c>
      <c r="F144" s="3" t="s">
        <v>26</v>
      </c>
      <c r="G144" s="3">
        <v>18</v>
      </c>
      <c r="H144" s="3" t="s">
        <v>27</v>
      </c>
      <c r="I144" s="3">
        <v>1</v>
      </c>
      <c r="J144" s="3">
        <v>151</v>
      </c>
      <c r="K144" s="3"/>
      <c r="L144" s="3"/>
      <c r="M144" s="3">
        <v>15.25</v>
      </c>
      <c r="N144" s="3">
        <f>J144-J144*M144/100</f>
        <v>127.9725</v>
      </c>
      <c r="O144" s="4">
        <f>N144+N144*18/100</f>
        <v>151.00755000000001</v>
      </c>
      <c r="P144" s="3"/>
    </row>
    <row r="145" spans="1:16" x14ac:dyDescent="0.3">
      <c r="A145" s="2">
        <v>45437</v>
      </c>
      <c r="B145" s="3" t="s">
        <v>151</v>
      </c>
      <c r="C145" s="3" t="s">
        <v>62</v>
      </c>
      <c r="D145" s="3" t="s">
        <v>362</v>
      </c>
      <c r="E145" s="3" t="s">
        <v>219</v>
      </c>
      <c r="F145" s="3" t="s">
        <v>26</v>
      </c>
      <c r="G145" s="3">
        <v>18</v>
      </c>
      <c r="H145" s="3" t="s">
        <v>27</v>
      </c>
      <c r="I145" s="3">
        <v>1</v>
      </c>
      <c r="J145" s="3">
        <v>752</v>
      </c>
      <c r="K145" s="3"/>
      <c r="L145" s="3"/>
      <c r="M145" s="3">
        <v>15.25</v>
      </c>
      <c r="N145" s="3">
        <f>J145-J145*M145/100</f>
        <v>637.31999999999994</v>
      </c>
      <c r="O145" s="4">
        <f>N145+N145*18/100</f>
        <v>752.03759999999988</v>
      </c>
      <c r="P145" s="3"/>
    </row>
    <row r="146" spans="1:16" x14ac:dyDescent="0.3">
      <c r="A146" s="2">
        <v>45437</v>
      </c>
      <c r="B146" s="3" t="s">
        <v>113</v>
      </c>
      <c r="C146" s="3" t="s">
        <v>44</v>
      </c>
      <c r="D146" s="3" t="s">
        <v>363</v>
      </c>
      <c r="E146" s="3" t="s">
        <v>219</v>
      </c>
      <c r="F146" s="3" t="s">
        <v>26</v>
      </c>
      <c r="G146" s="3">
        <v>18</v>
      </c>
      <c r="H146" s="3" t="s">
        <v>27</v>
      </c>
      <c r="I146" s="3">
        <v>1</v>
      </c>
      <c r="J146" s="3">
        <v>680</v>
      </c>
      <c r="K146" s="3"/>
      <c r="L146" s="3"/>
      <c r="M146" s="3">
        <v>15.25</v>
      </c>
      <c r="N146" s="3">
        <f>J146-J146*M146/100</f>
        <v>576.29999999999995</v>
      </c>
      <c r="O146" s="4">
        <f>N146+N146*18/100</f>
        <v>680.03399999999999</v>
      </c>
      <c r="P146" s="3"/>
    </row>
    <row r="147" spans="1:16" x14ac:dyDescent="0.3">
      <c r="A147" s="2">
        <v>45437</v>
      </c>
      <c r="B147" s="3" t="s">
        <v>113</v>
      </c>
      <c r="C147" s="3" t="s">
        <v>44</v>
      </c>
      <c r="D147" s="3" t="s">
        <v>364</v>
      </c>
      <c r="E147" s="3" t="s">
        <v>219</v>
      </c>
      <c r="F147" s="3" t="s">
        <v>26</v>
      </c>
      <c r="G147" s="3">
        <v>18</v>
      </c>
      <c r="H147" s="3" t="s">
        <v>27</v>
      </c>
      <c r="I147" s="3">
        <v>1</v>
      </c>
      <c r="J147" s="3">
        <v>1084</v>
      </c>
      <c r="K147" s="3"/>
      <c r="L147" s="3"/>
      <c r="M147" s="3">
        <v>15.25</v>
      </c>
      <c r="N147" s="3">
        <f>J147-J147*M147/100</f>
        <v>918.69</v>
      </c>
      <c r="O147" s="4">
        <f>N147+N147*18/100</f>
        <v>1084.0542</v>
      </c>
      <c r="P147" s="3"/>
    </row>
    <row r="148" spans="1:16" x14ac:dyDescent="0.3">
      <c r="A148" s="2">
        <v>45437</v>
      </c>
      <c r="B148" s="3" t="s">
        <v>162</v>
      </c>
      <c r="C148" s="3" t="s">
        <v>63</v>
      </c>
      <c r="D148" s="3" t="s">
        <v>365</v>
      </c>
      <c r="E148" s="3" t="s">
        <v>219</v>
      </c>
      <c r="F148" s="3" t="s">
        <v>26</v>
      </c>
      <c r="G148" s="3">
        <v>18</v>
      </c>
      <c r="H148" s="3" t="s">
        <v>27</v>
      </c>
      <c r="I148" s="3">
        <v>1</v>
      </c>
      <c r="J148" s="3">
        <v>742</v>
      </c>
      <c r="K148" s="3"/>
      <c r="L148" s="3"/>
      <c r="M148" s="3">
        <v>15.25</v>
      </c>
      <c r="N148" s="3">
        <f>J148-J148*M148/100</f>
        <v>628.84500000000003</v>
      </c>
      <c r="O148" s="4">
        <f>N148+N148*18/100</f>
        <v>742.03710000000001</v>
      </c>
      <c r="P148" s="3"/>
    </row>
    <row r="149" spans="1:16" x14ac:dyDescent="0.3">
      <c r="A149" s="2">
        <v>45437</v>
      </c>
      <c r="B149" s="3" t="s">
        <v>165</v>
      </c>
      <c r="C149" s="3" t="s">
        <v>36</v>
      </c>
      <c r="D149" s="3" t="s">
        <v>366</v>
      </c>
      <c r="E149" s="3" t="s">
        <v>219</v>
      </c>
      <c r="F149" s="3" t="s">
        <v>26</v>
      </c>
      <c r="G149" s="3">
        <v>18</v>
      </c>
      <c r="H149" s="3" t="s">
        <v>27</v>
      </c>
      <c r="I149" s="3">
        <v>1</v>
      </c>
      <c r="J149" s="3">
        <v>5477</v>
      </c>
      <c r="K149" s="3"/>
      <c r="L149" s="3"/>
      <c r="M149" s="3">
        <v>15.25</v>
      </c>
      <c r="N149" s="3">
        <f>J149-J149*M149/100</f>
        <v>4641.7574999999997</v>
      </c>
      <c r="O149" s="4">
        <f>N149+N149*18/100</f>
        <v>5477.2738499999996</v>
      </c>
      <c r="P149" s="3"/>
    </row>
    <row r="150" spans="1:16" x14ac:dyDescent="0.3">
      <c r="A150" s="2">
        <v>45439</v>
      </c>
      <c r="B150" s="3" t="s">
        <v>187</v>
      </c>
      <c r="C150" s="3" t="s">
        <v>86</v>
      </c>
      <c r="D150" s="3" t="s">
        <v>367</v>
      </c>
      <c r="E150" s="3" t="s">
        <v>219</v>
      </c>
      <c r="F150" s="3" t="s">
        <v>26</v>
      </c>
      <c r="G150" s="3">
        <v>18</v>
      </c>
      <c r="H150" s="3" t="s">
        <v>27</v>
      </c>
      <c r="I150" s="3">
        <v>1</v>
      </c>
      <c r="J150" s="3">
        <v>1049</v>
      </c>
      <c r="K150" s="3"/>
      <c r="L150" s="3"/>
      <c r="M150" s="3">
        <v>15.25</v>
      </c>
      <c r="N150" s="3">
        <f>J150-J150*M150/100</f>
        <v>889.02750000000003</v>
      </c>
      <c r="O150" s="4">
        <f>N150+N150*18/100</f>
        <v>1049.0524500000001</v>
      </c>
      <c r="P150" s="3"/>
    </row>
    <row r="151" spans="1:16" x14ac:dyDescent="0.3">
      <c r="A151" s="2">
        <v>45440</v>
      </c>
      <c r="B151" s="3" t="s">
        <v>193</v>
      </c>
      <c r="C151" s="3" t="s">
        <v>87</v>
      </c>
      <c r="D151" s="3" t="s">
        <v>368</v>
      </c>
      <c r="E151" s="3" t="s">
        <v>219</v>
      </c>
      <c r="F151" s="3" t="s">
        <v>26</v>
      </c>
      <c r="G151" s="3">
        <v>18</v>
      </c>
      <c r="H151" s="3" t="s">
        <v>27</v>
      </c>
      <c r="I151" s="3">
        <v>1</v>
      </c>
      <c r="J151" s="3">
        <v>150</v>
      </c>
      <c r="K151" s="3"/>
      <c r="L151" s="3"/>
      <c r="M151" s="3">
        <v>15.25</v>
      </c>
      <c r="N151" s="3">
        <f>J151-J151*M151/100</f>
        <v>127.125</v>
      </c>
      <c r="O151" s="4">
        <f>N151+N151*18/100</f>
        <v>150.00749999999999</v>
      </c>
      <c r="P151" s="3"/>
    </row>
    <row r="152" spans="1:16" x14ac:dyDescent="0.3">
      <c r="A152" s="2">
        <v>45441</v>
      </c>
      <c r="B152" s="3" t="s">
        <v>170</v>
      </c>
      <c r="C152" s="3" t="s">
        <v>56</v>
      </c>
      <c r="D152" s="3" t="s">
        <v>369</v>
      </c>
      <c r="E152" s="3" t="s">
        <v>219</v>
      </c>
      <c r="F152" s="3" t="s">
        <v>26</v>
      </c>
      <c r="G152" s="3">
        <v>18</v>
      </c>
      <c r="H152" s="3" t="s">
        <v>27</v>
      </c>
      <c r="I152" s="3">
        <v>1</v>
      </c>
      <c r="J152" s="3">
        <v>1215</v>
      </c>
      <c r="K152" s="3"/>
      <c r="L152" s="3"/>
      <c r="M152" s="3">
        <v>15.25</v>
      </c>
      <c r="N152" s="3">
        <f>J152-J152*M152/100</f>
        <v>1029.7125000000001</v>
      </c>
      <c r="O152" s="4">
        <f>N152+N152*18/100</f>
        <v>1215.0607500000001</v>
      </c>
      <c r="P152" s="3"/>
    </row>
    <row r="153" spans="1:16" x14ac:dyDescent="0.3">
      <c r="A153" s="2">
        <v>45442</v>
      </c>
      <c r="B153" s="3" t="s">
        <v>162</v>
      </c>
      <c r="C153" s="3" t="s">
        <v>63</v>
      </c>
      <c r="D153" s="3" t="s">
        <v>370</v>
      </c>
      <c r="E153" s="3" t="s">
        <v>219</v>
      </c>
      <c r="F153" s="3" t="s">
        <v>2</v>
      </c>
      <c r="G153" s="3">
        <v>18</v>
      </c>
      <c r="H153" s="3" t="s">
        <v>3</v>
      </c>
      <c r="I153" s="3">
        <v>1</v>
      </c>
      <c r="J153" s="3">
        <v>161</v>
      </c>
      <c r="K153" s="3"/>
      <c r="L153" s="3"/>
      <c r="M153" s="3">
        <v>15.25</v>
      </c>
      <c r="N153" s="3">
        <f>J153-J153*M153/100</f>
        <v>136.44749999999999</v>
      </c>
      <c r="O153" s="4">
        <f>N153+N153*18/100</f>
        <v>161.00805</v>
      </c>
      <c r="P153" s="3"/>
    </row>
    <row r="154" spans="1:16" x14ac:dyDescent="0.3">
      <c r="A154" s="2">
        <v>45442</v>
      </c>
      <c r="B154" s="3" t="s">
        <v>178</v>
      </c>
      <c r="C154" s="3" t="s">
        <v>13</v>
      </c>
      <c r="D154" s="3" t="s">
        <v>371</v>
      </c>
      <c r="E154" s="3" t="s">
        <v>219</v>
      </c>
      <c r="F154" s="3" t="s">
        <v>2</v>
      </c>
      <c r="G154" s="3">
        <v>18</v>
      </c>
      <c r="H154" s="3" t="s">
        <v>3</v>
      </c>
      <c r="I154" s="3">
        <v>1</v>
      </c>
      <c r="J154" s="3">
        <v>8895.5</v>
      </c>
      <c r="K154" s="3"/>
      <c r="L154" s="3"/>
      <c r="M154" s="3">
        <v>15.25</v>
      </c>
      <c r="N154" s="3">
        <f>J154-J154*M154/100</f>
        <v>7538.9362499999997</v>
      </c>
      <c r="O154" s="4">
        <f>N154+N154*18/100</f>
        <v>8895.9447749999999</v>
      </c>
      <c r="P154" s="3"/>
    </row>
    <row r="155" spans="1:16" x14ac:dyDescent="0.3">
      <c r="A155" s="2">
        <v>45442</v>
      </c>
      <c r="B155" s="3" t="s">
        <v>199</v>
      </c>
      <c r="C155" s="3" t="s">
        <v>15</v>
      </c>
      <c r="D155" s="3" t="s">
        <v>372</v>
      </c>
      <c r="E155" s="3" t="s">
        <v>219</v>
      </c>
      <c r="F155" s="3" t="s">
        <v>2</v>
      </c>
      <c r="G155" s="3">
        <v>18</v>
      </c>
      <c r="H155" s="3" t="s">
        <v>3</v>
      </c>
      <c r="I155" s="3">
        <v>1</v>
      </c>
      <c r="J155" s="3">
        <v>964</v>
      </c>
      <c r="K155" s="3"/>
      <c r="L155" s="3"/>
      <c r="M155" s="3">
        <v>15.25</v>
      </c>
      <c r="N155" s="3">
        <f>J155-J155*M155/100</f>
        <v>816.99</v>
      </c>
      <c r="O155" s="4">
        <f>N155+N155*18/100</f>
        <v>964.04819999999995</v>
      </c>
      <c r="P155" s="3"/>
    </row>
    <row r="156" spans="1:16" x14ac:dyDescent="0.3">
      <c r="A156" s="2">
        <v>45442</v>
      </c>
      <c r="B156" s="3" t="s">
        <v>169</v>
      </c>
      <c r="C156" s="3" t="s">
        <v>8</v>
      </c>
      <c r="D156" s="3" t="s">
        <v>373</v>
      </c>
      <c r="E156" s="3" t="s">
        <v>219</v>
      </c>
      <c r="F156" s="3" t="s">
        <v>2</v>
      </c>
      <c r="G156" s="3">
        <v>18</v>
      </c>
      <c r="H156" s="3" t="s">
        <v>3</v>
      </c>
      <c r="I156" s="3">
        <v>1</v>
      </c>
      <c r="J156" s="3">
        <v>17337</v>
      </c>
      <c r="K156" s="3"/>
      <c r="L156" s="3"/>
      <c r="M156" s="3">
        <v>15.25</v>
      </c>
      <c r="N156" s="3">
        <f>J156-J156*M156/100</f>
        <v>14693.1075</v>
      </c>
      <c r="O156" s="4">
        <f>N156+N156*18/100</f>
        <v>17337.866849999999</v>
      </c>
      <c r="P156" s="3"/>
    </row>
    <row r="157" spans="1:16" x14ac:dyDescent="0.3">
      <c r="A157" s="2">
        <v>45442</v>
      </c>
      <c r="B157" s="3" t="s">
        <v>201</v>
      </c>
      <c r="C157" s="3" t="s">
        <v>88</v>
      </c>
      <c r="D157" s="3" t="s">
        <v>374</v>
      </c>
      <c r="E157" s="3" t="s">
        <v>219</v>
      </c>
      <c r="F157" s="3" t="s">
        <v>2</v>
      </c>
      <c r="G157" s="3">
        <v>18</v>
      </c>
      <c r="H157" s="3" t="s">
        <v>3</v>
      </c>
      <c r="I157" s="3">
        <v>1</v>
      </c>
      <c r="J157" s="3">
        <v>3015</v>
      </c>
      <c r="K157" s="3"/>
      <c r="L157" s="3"/>
      <c r="M157" s="3">
        <v>15.25</v>
      </c>
      <c r="N157" s="3">
        <f>J157-J157*M157/100</f>
        <v>2555.2125000000001</v>
      </c>
      <c r="O157" s="4">
        <f>N157+N157*18/100</f>
        <v>3015.1507500000002</v>
      </c>
      <c r="P157" s="3"/>
    </row>
    <row r="158" spans="1:16" x14ac:dyDescent="0.3">
      <c r="A158" s="2">
        <v>45442</v>
      </c>
      <c r="B158" s="3" t="s">
        <v>146</v>
      </c>
      <c r="C158" s="3" t="s">
        <v>89</v>
      </c>
      <c r="D158" s="3" t="s">
        <v>375</v>
      </c>
      <c r="E158" s="3" t="s">
        <v>219</v>
      </c>
      <c r="F158" s="3" t="s">
        <v>2</v>
      </c>
      <c r="G158" s="3">
        <v>18</v>
      </c>
      <c r="H158" s="3" t="s">
        <v>3</v>
      </c>
      <c r="I158" s="3">
        <v>1</v>
      </c>
      <c r="J158" s="3">
        <v>10011</v>
      </c>
      <c r="K158" s="3"/>
      <c r="L158" s="3"/>
      <c r="M158" s="3">
        <v>15.25</v>
      </c>
      <c r="N158" s="3">
        <f>J158-J158*M158/100</f>
        <v>8484.3225000000002</v>
      </c>
      <c r="O158" s="4">
        <f>N158+N158*18/100</f>
        <v>10011.500550000001</v>
      </c>
      <c r="P158" s="3"/>
    </row>
    <row r="159" spans="1:16" x14ac:dyDescent="0.3">
      <c r="A159" s="2">
        <v>45442</v>
      </c>
      <c r="B159" s="3" t="s">
        <v>163</v>
      </c>
      <c r="C159" s="3" t="s">
        <v>55</v>
      </c>
      <c r="D159" s="3" t="s">
        <v>376</v>
      </c>
      <c r="E159" s="3" t="s">
        <v>219</v>
      </c>
      <c r="F159" s="3" t="s">
        <v>2</v>
      </c>
      <c r="G159" s="3">
        <v>18</v>
      </c>
      <c r="H159" s="3" t="s">
        <v>3</v>
      </c>
      <c r="I159" s="3">
        <v>1</v>
      </c>
      <c r="J159" s="3">
        <v>6771</v>
      </c>
      <c r="K159" s="3"/>
      <c r="L159" s="3"/>
      <c r="M159" s="3">
        <v>15.25</v>
      </c>
      <c r="N159" s="3">
        <f>J159-J159*M159/100</f>
        <v>5738.4224999999997</v>
      </c>
      <c r="O159" s="4">
        <f>N159+N159*18/100</f>
        <v>6771.3385499999995</v>
      </c>
      <c r="P159" s="3"/>
    </row>
    <row r="160" spans="1:16" x14ac:dyDescent="0.3">
      <c r="A160" s="2">
        <v>45442</v>
      </c>
      <c r="B160" s="3" t="s">
        <v>181</v>
      </c>
      <c r="C160" s="3" t="s">
        <v>19</v>
      </c>
      <c r="D160" s="3" t="s">
        <v>377</v>
      </c>
      <c r="E160" s="3" t="s">
        <v>219</v>
      </c>
      <c r="F160" s="3" t="s">
        <v>2</v>
      </c>
      <c r="G160" s="3">
        <v>18</v>
      </c>
      <c r="H160" s="3" t="s">
        <v>3</v>
      </c>
      <c r="I160" s="3">
        <v>1</v>
      </c>
      <c r="J160" s="3">
        <v>30646</v>
      </c>
      <c r="K160" s="3"/>
      <c r="L160" s="3"/>
      <c r="M160" s="3">
        <v>15.25</v>
      </c>
      <c r="N160" s="3">
        <f>J160-J160*M160/100</f>
        <v>25972.485000000001</v>
      </c>
      <c r="O160" s="4">
        <f>N160+N160*18/100</f>
        <v>30647.532299999999</v>
      </c>
      <c r="P160" s="3"/>
    </row>
    <row r="161" spans="1:16" x14ac:dyDescent="0.3">
      <c r="A161" s="2">
        <v>45442</v>
      </c>
      <c r="B161" s="3" t="s">
        <v>125</v>
      </c>
      <c r="C161" s="3" t="s">
        <v>90</v>
      </c>
      <c r="D161" s="3" t="s">
        <v>378</v>
      </c>
      <c r="E161" s="3" t="s">
        <v>219</v>
      </c>
      <c r="F161" s="3" t="s">
        <v>2</v>
      </c>
      <c r="G161" s="3">
        <v>18</v>
      </c>
      <c r="H161" s="3" t="s">
        <v>3</v>
      </c>
      <c r="I161" s="3">
        <v>1</v>
      </c>
      <c r="J161" s="3">
        <v>1872</v>
      </c>
      <c r="K161" s="3"/>
      <c r="L161" s="3"/>
      <c r="M161" s="3">
        <v>15.25</v>
      </c>
      <c r="N161" s="3">
        <f>J161-J161*M161/100</f>
        <v>1586.52</v>
      </c>
      <c r="O161" s="4">
        <f>N161+N161*18/100</f>
        <v>1872.0935999999999</v>
      </c>
      <c r="P161" s="3"/>
    </row>
    <row r="162" spans="1:16" x14ac:dyDescent="0.3">
      <c r="A162" s="2">
        <v>45442</v>
      </c>
      <c r="B162" s="3" t="s">
        <v>188</v>
      </c>
      <c r="C162" s="3" t="s">
        <v>33</v>
      </c>
      <c r="D162" s="3" t="s">
        <v>379</v>
      </c>
      <c r="E162" s="3" t="s">
        <v>219</v>
      </c>
      <c r="F162" s="3" t="s">
        <v>2</v>
      </c>
      <c r="G162" s="3">
        <v>18</v>
      </c>
      <c r="H162" s="3" t="s">
        <v>3</v>
      </c>
      <c r="I162" s="3">
        <v>1</v>
      </c>
      <c r="J162" s="3">
        <v>1303.5</v>
      </c>
      <c r="K162" s="3"/>
      <c r="L162" s="3"/>
      <c r="M162" s="3">
        <v>15.25</v>
      </c>
      <c r="N162" s="3">
        <f>J162-J162*M162/100</f>
        <v>1104.7162499999999</v>
      </c>
      <c r="O162" s="4">
        <f>N162+N162*18/100</f>
        <v>1303.565175</v>
      </c>
      <c r="P162" s="3"/>
    </row>
    <row r="163" spans="1:16" x14ac:dyDescent="0.3">
      <c r="A163" s="2">
        <v>45442</v>
      </c>
      <c r="B163" s="3" t="s">
        <v>195</v>
      </c>
      <c r="C163" s="3" t="s">
        <v>12</v>
      </c>
      <c r="D163" s="3" t="s">
        <v>380</v>
      </c>
      <c r="E163" s="3" t="s">
        <v>219</v>
      </c>
      <c r="F163" s="3" t="s">
        <v>2</v>
      </c>
      <c r="G163" s="3">
        <v>18</v>
      </c>
      <c r="H163" s="3" t="s">
        <v>3</v>
      </c>
      <c r="I163" s="3">
        <v>1</v>
      </c>
      <c r="J163" s="3">
        <v>19810</v>
      </c>
      <c r="K163" s="3"/>
      <c r="L163" s="3"/>
      <c r="M163" s="3">
        <v>15.25</v>
      </c>
      <c r="N163" s="3">
        <f>J163-J163*M163/100</f>
        <v>16788.974999999999</v>
      </c>
      <c r="O163" s="4">
        <f>N163+N163*18/100</f>
        <v>19810.9905</v>
      </c>
      <c r="P163" s="3"/>
    </row>
    <row r="164" spans="1:16" x14ac:dyDescent="0.3">
      <c r="A164" s="2">
        <v>45442</v>
      </c>
      <c r="B164" s="3" t="s">
        <v>112</v>
      </c>
      <c r="C164" s="3" t="s">
        <v>91</v>
      </c>
      <c r="D164" s="3" t="s">
        <v>381</v>
      </c>
      <c r="E164" s="3" t="s">
        <v>219</v>
      </c>
      <c r="F164" s="3" t="s">
        <v>2</v>
      </c>
      <c r="G164" s="3">
        <v>18</v>
      </c>
      <c r="H164" s="3" t="s">
        <v>3</v>
      </c>
      <c r="I164" s="3">
        <v>1</v>
      </c>
      <c r="J164" s="3">
        <v>22120</v>
      </c>
      <c r="K164" s="3"/>
      <c r="L164" s="3"/>
      <c r="M164" s="3">
        <v>15.25</v>
      </c>
      <c r="N164" s="3">
        <f>J164-J164*M164/100</f>
        <v>18746.7</v>
      </c>
      <c r="O164" s="4">
        <f>N164+N164*18/100</f>
        <v>22121.106</v>
      </c>
      <c r="P164" s="3"/>
    </row>
    <row r="165" spans="1:16" x14ac:dyDescent="0.3">
      <c r="A165" s="2">
        <v>45442</v>
      </c>
      <c r="B165" s="3" t="s">
        <v>171</v>
      </c>
      <c r="C165" s="3" t="s">
        <v>22</v>
      </c>
      <c r="D165" s="3" t="s">
        <v>382</v>
      </c>
      <c r="E165" s="3" t="s">
        <v>219</v>
      </c>
      <c r="F165" s="3" t="s">
        <v>2</v>
      </c>
      <c r="G165" s="3">
        <v>18</v>
      </c>
      <c r="H165" s="3" t="s">
        <v>3</v>
      </c>
      <c r="I165" s="3">
        <v>1</v>
      </c>
      <c r="J165" s="3">
        <v>11187</v>
      </c>
      <c r="K165" s="3"/>
      <c r="L165" s="3"/>
      <c r="M165" s="3">
        <v>15.25</v>
      </c>
      <c r="N165" s="3">
        <f>J165-J165*M165/100</f>
        <v>9480.9825000000001</v>
      </c>
      <c r="O165" s="4">
        <f>N165+N165*18/100</f>
        <v>11187.55935</v>
      </c>
      <c r="P165" s="3"/>
    </row>
    <row r="166" spans="1:16" x14ac:dyDescent="0.3">
      <c r="A166" s="2">
        <v>45442</v>
      </c>
      <c r="B166" s="3" t="s">
        <v>143</v>
      </c>
      <c r="C166" s="3" t="s">
        <v>10</v>
      </c>
      <c r="D166" s="3" t="s">
        <v>383</v>
      </c>
      <c r="E166" s="3" t="s">
        <v>219</v>
      </c>
      <c r="F166" s="3" t="s">
        <v>2</v>
      </c>
      <c r="G166" s="3">
        <v>18</v>
      </c>
      <c r="H166" s="3" t="s">
        <v>3</v>
      </c>
      <c r="I166" s="3">
        <v>1</v>
      </c>
      <c r="J166" s="3">
        <v>16640</v>
      </c>
      <c r="K166" s="3"/>
      <c r="L166" s="3"/>
      <c r="M166" s="3">
        <v>15.25</v>
      </c>
      <c r="N166" s="3">
        <f>J166-J166*M166/100</f>
        <v>14102.4</v>
      </c>
      <c r="O166" s="4">
        <f>N166+N166*18/100</f>
        <v>16640.831999999999</v>
      </c>
      <c r="P166" s="3"/>
    </row>
    <row r="167" spans="1:16" x14ac:dyDescent="0.3">
      <c r="A167" s="2">
        <v>45442</v>
      </c>
      <c r="B167" s="3" t="s">
        <v>183</v>
      </c>
      <c r="C167" s="3" t="s">
        <v>29</v>
      </c>
      <c r="D167" s="3" t="s">
        <v>384</v>
      </c>
      <c r="E167" s="3" t="s">
        <v>219</v>
      </c>
      <c r="F167" s="3" t="s">
        <v>2</v>
      </c>
      <c r="G167" s="3">
        <v>18</v>
      </c>
      <c r="H167" s="3" t="s">
        <v>3</v>
      </c>
      <c r="I167" s="3">
        <v>1</v>
      </c>
      <c r="J167" s="3">
        <v>17361</v>
      </c>
      <c r="K167" s="3"/>
      <c r="L167" s="3"/>
      <c r="M167" s="3">
        <v>15.25</v>
      </c>
      <c r="N167" s="3">
        <f>J167-J167*M167/100</f>
        <v>14713.4475</v>
      </c>
      <c r="O167" s="4">
        <f>N167+N167*18/100</f>
        <v>17361.868050000001</v>
      </c>
      <c r="P167" s="3"/>
    </row>
    <row r="168" spans="1:16" x14ac:dyDescent="0.3">
      <c r="A168" s="2">
        <v>45443</v>
      </c>
      <c r="B168" s="3" t="s">
        <v>132</v>
      </c>
      <c r="C168" s="3" t="s">
        <v>92</v>
      </c>
      <c r="D168" s="3" t="s">
        <v>385</v>
      </c>
      <c r="E168" s="3" t="s">
        <v>219</v>
      </c>
      <c r="F168" s="3" t="s">
        <v>2</v>
      </c>
      <c r="G168" s="3">
        <v>18</v>
      </c>
      <c r="H168" s="3" t="s">
        <v>3</v>
      </c>
      <c r="I168" s="3">
        <v>1</v>
      </c>
      <c r="J168" s="3">
        <v>7350</v>
      </c>
      <c r="K168" s="3"/>
      <c r="L168" s="3"/>
      <c r="M168" s="3">
        <v>15.25</v>
      </c>
      <c r="N168" s="3">
        <f>J168-J168*M168/100</f>
        <v>6229.125</v>
      </c>
      <c r="O168" s="4">
        <f>N168+N168*18/100</f>
        <v>7350.3675000000003</v>
      </c>
      <c r="P168" s="3"/>
    </row>
    <row r="169" spans="1:16" x14ac:dyDescent="0.3">
      <c r="A169" s="2">
        <v>45443</v>
      </c>
      <c r="B169" s="3" t="s">
        <v>111</v>
      </c>
      <c r="C169" s="3" t="s">
        <v>43</v>
      </c>
      <c r="D169" s="3" t="s">
        <v>386</v>
      </c>
      <c r="E169" s="3" t="s">
        <v>219</v>
      </c>
      <c r="F169" s="3" t="s">
        <v>2</v>
      </c>
      <c r="G169" s="3">
        <v>18</v>
      </c>
      <c r="H169" s="3" t="s">
        <v>3</v>
      </c>
      <c r="I169" s="3">
        <v>1</v>
      </c>
      <c r="J169" s="3">
        <v>2259</v>
      </c>
      <c r="K169" s="3"/>
      <c r="L169" s="3"/>
      <c r="M169" s="3">
        <v>15.25</v>
      </c>
      <c r="N169" s="3">
        <f>J169-J169*M169/100</f>
        <v>1914.5025000000001</v>
      </c>
      <c r="O169" s="4">
        <f>N169+N169*18/100</f>
        <v>2259.1129500000002</v>
      </c>
      <c r="P169" s="3"/>
    </row>
    <row r="170" spans="1:16" x14ac:dyDescent="0.3">
      <c r="A170" s="2">
        <v>45443</v>
      </c>
      <c r="B170" s="3" t="s">
        <v>137</v>
      </c>
      <c r="C170" s="3" t="s">
        <v>31</v>
      </c>
      <c r="D170" s="3" t="s">
        <v>387</v>
      </c>
      <c r="E170" s="3" t="s">
        <v>219</v>
      </c>
      <c r="F170" s="3" t="s">
        <v>2</v>
      </c>
      <c r="G170" s="3">
        <v>18</v>
      </c>
      <c r="H170" s="3" t="s">
        <v>3</v>
      </c>
      <c r="I170" s="3">
        <v>1</v>
      </c>
      <c r="J170" s="3">
        <v>4146</v>
      </c>
      <c r="K170" s="3"/>
      <c r="L170" s="3"/>
      <c r="M170" s="3">
        <v>15.25</v>
      </c>
      <c r="N170" s="3">
        <f>J170-J170*M170/100</f>
        <v>3513.7350000000001</v>
      </c>
      <c r="O170" s="4">
        <f>N170+N170*18/100</f>
        <v>4146.2073</v>
      </c>
      <c r="P170" s="3"/>
    </row>
    <row r="171" spans="1:16" x14ac:dyDescent="0.3">
      <c r="A171" s="2">
        <v>45443</v>
      </c>
      <c r="B171" s="3" t="s">
        <v>126</v>
      </c>
      <c r="C171" s="3" t="s">
        <v>18</v>
      </c>
      <c r="D171" s="3" t="s">
        <v>388</v>
      </c>
      <c r="E171" s="3" t="s">
        <v>219</v>
      </c>
      <c r="F171" s="3" t="s">
        <v>2</v>
      </c>
      <c r="G171" s="3">
        <v>18</v>
      </c>
      <c r="H171" s="3" t="s">
        <v>3</v>
      </c>
      <c r="I171" s="3">
        <v>1</v>
      </c>
      <c r="J171" s="3">
        <v>12882</v>
      </c>
      <c r="K171" s="3"/>
      <c r="L171" s="3"/>
      <c r="M171" s="3">
        <v>15.25</v>
      </c>
      <c r="N171" s="3">
        <f>J171-J171*M171/100</f>
        <v>10917.494999999999</v>
      </c>
      <c r="O171" s="4">
        <f>N171+N171*18/100</f>
        <v>12882.644099999998</v>
      </c>
      <c r="P171" s="3"/>
    </row>
    <row r="172" spans="1:16" x14ac:dyDescent="0.3">
      <c r="A172" s="2">
        <v>45443</v>
      </c>
      <c r="B172" s="3" t="s">
        <v>134</v>
      </c>
      <c r="C172" s="3" t="s">
        <v>68</v>
      </c>
      <c r="D172" s="3" t="s">
        <v>389</v>
      </c>
      <c r="E172" s="3" t="s">
        <v>219</v>
      </c>
      <c r="F172" s="3" t="s">
        <v>2</v>
      </c>
      <c r="G172" s="3">
        <v>18</v>
      </c>
      <c r="H172" s="3" t="s">
        <v>3</v>
      </c>
      <c r="I172" s="3">
        <v>1</v>
      </c>
      <c r="J172" s="3">
        <v>11440</v>
      </c>
      <c r="K172" s="3"/>
      <c r="L172" s="3"/>
      <c r="M172" s="3">
        <v>15.25</v>
      </c>
      <c r="N172" s="3">
        <f>J172-J172*M172/100</f>
        <v>9695.4</v>
      </c>
      <c r="O172" s="4">
        <f>N172+N172*18/100</f>
        <v>11440.572</v>
      </c>
      <c r="P172" s="3"/>
    </row>
    <row r="173" spans="1:16" x14ac:dyDescent="0.3">
      <c r="A173" s="2">
        <v>45443</v>
      </c>
      <c r="B173" s="3" t="s">
        <v>150</v>
      </c>
      <c r="C173" s="3" t="s">
        <v>83</v>
      </c>
      <c r="D173" s="3" t="s">
        <v>390</v>
      </c>
      <c r="E173" s="3" t="s">
        <v>219</v>
      </c>
      <c r="F173" s="3" t="s">
        <v>2</v>
      </c>
      <c r="G173" s="3">
        <v>18</v>
      </c>
      <c r="H173" s="3" t="s">
        <v>3</v>
      </c>
      <c r="I173" s="3">
        <v>1</v>
      </c>
      <c r="J173" s="3">
        <v>14040</v>
      </c>
      <c r="K173" s="3"/>
      <c r="L173" s="3"/>
      <c r="M173" s="3">
        <v>15.25</v>
      </c>
      <c r="N173" s="3">
        <f>J173-J173*M173/100</f>
        <v>11898.9</v>
      </c>
      <c r="O173" s="4">
        <f>N173+N173*18/100</f>
        <v>14040.701999999999</v>
      </c>
      <c r="P173" s="3"/>
    </row>
    <row r="174" spans="1:16" x14ac:dyDescent="0.3">
      <c r="A174" s="2">
        <v>45443</v>
      </c>
      <c r="B174" s="3" t="s">
        <v>149</v>
      </c>
      <c r="C174" s="3" t="s">
        <v>79</v>
      </c>
      <c r="D174" s="3" t="s">
        <v>391</v>
      </c>
      <c r="E174" s="3" t="s">
        <v>219</v>
      </c>
      <c r="F174" s="3" t="s">
        <v>2</v>
      </c>
      <c r="G174" s="3">
        <v>18</v>
      </c>
      <c r="H174" s="3" t="s">
        <v>3</v>
      </c>
      <c r="I174" s="3">
        <v>1</v>
      </c>
      <c r="J174" s="3">
        <v>2034</v>
      </c>
      <c r="K174" s="3"/>
      <c r="L174" s="3"/>
      <c r="M174" s="3">
        <v>15.25</v>
      </c>
      <c r="N174" s="3">
        <f>J174-J174*M174/100</f>
        <v>1723.8150000000001</v>
      </c>
      <c r="O174" s="4">
        <f>N174+N174*18/100</f>
        <v>2034.1017000000002</v>
      </c>
      <c r="P174" s="3"/>
    </row>
    <row r="175" spans="1:16" x14ac:dyDescent="0.3">
      <c r="A175" s="2">
        <v>45443</v>
      </c>
      <c r="B175" s="3" t="s">
        <v>159</v>
      </c>
      <c r="C175" s="3" t="s">
        <v>93</v>
      </c>
      <c r="D175" s="3" t="s">
        <v>392</v>
      </c>
      <c r="E175" s="3" t="s">
        <v>219</v>
      </c>
      <c r="F175" s="3" t="s">
        <v>2</v>
      </c>
      <c r="G175" s="3">
        <v>18</v>
      </c>
      <c r="H175" s="3" t="s">
        <v>3</v>
      </c>
      <c r="I175" s="3">
        <v>1</v>
      </c>
      <c r="J175" s="3">
        <v>18237</v>
      </c>
      <c r="K175" s="3"/>
      <c r="L175" s="3"/>
      <c r="M175" s="3">
        <v>15.25</v>
      </c>
      <c r="N175" s="3">
        <f>J175-J175*M175/100</f>
        <v>15455.8575</v>
      </c>
      <c r="O175" s="4">
        <f>N175+N175*18/100</f>
        <v>18237.91185</v>
      </c>
      <c r="P175" s="3"/>
    </row>
    <row r="176" spans="1:16" x14ac:dyDescent="0.3">
      <c r="A176" s="2">
        <v>45443</v>
      </c>
      <c r="B176" s="3" t="s">
        <v>115</v>
      </c>
      <c r="C176" s="3" t="s">
        <v>94</v>
      </c>
      <c r="D176" s="3" t="s">
        <v>393</v>
      </c>
      <c r="E176" s="3" t="s">
        <v>219</v>
      </c>
      <c r="F176" s="3" t="s">
        <v>2</v>
      </c>
      <c r="G176" s="3">
        <v>18</v>
      </c>
      <c r="H176" s="3" t="s">
        <v>3</v>
      </c>
      <c r="I176" s="3">
        <v>1</v>
      </c>
      <c r="J176" s="3">
        <v>6266</v>
      </c>
      <c r="K176" s="3"/>
      <c r="L176" s="3"/>
      <c r="M176" s="3">
        <v>15.25</v>
      </c>
      <c r="N176" s="3">
        <f>J176-J176*M176/100</f>
        <v>5310.4349999999995</v>
      </c>
      <c r="O176" s="4">
        <f>N176+N176*18/100</f>
        <v>6266.3132999999998</v>
      </c>
      <c r="P176" s="3"/>
    </row>
    <row r="177" spans="1:16" x14ac:dyDescent="0.3">
      <c r="A177" s="2">
        <v>45443</v>
      </c>
      <c r="B177" s="3" t="s">
        <v>129</v>
      </c>
      <c r="C177" s="3" t="s">
        <v>51</v>
      </c>
      <c r="D177" s="3" t="s">
        <v>394</v>
      </c>
      <c r="E177" s="3" t="s">
        <v>219</v>
      </c>
      <c r="F177" s="3" t="s">
        <v>2</v>
      </c>
      <c r="G177" s="3">
        <v>18</v>
      </c>
      <c r="H177" s="3" t="s">
        <v>3</v>
      </c>
      <c r="I177" s="3">
        <v>1</v>
      </c>
      <c r="J177" s="3">
        <v>1570</v>
      </c>
      <c r="K177" s="3"/>
      <c r="L177" s="3"/>
      <c r="M177" s="3">
        <v>15.25</v>
      </c>
      <c r="N177" s="3">
        <f>J177-J177*M177/100</f>
        <v>1330.575</v>
      </c>
      <c r="O177" s="4">
        <f>N177+N177*18/100</f>
        <v>1570.0785000000001</v>
      </c>
      <c r="P177" s="3"/>
    </row>
    <row r="178" spans="1:16" x14ac:dyDescent="0.3">
      <c r="A178" s="2">
        <v>45443</v>
      </c>
      <c r="B178" s="3" t="s">
        <v>126</v>
      </c>
      <c r="C178" s="3" t="s">
        <v>18</v>
      </c>
      <c r="D178" s="3" t="s">
        <v>395</v>
      </c>
      <c r="E178" s="3" t="s">
        <v>219</v>
      </c>
      <c r="F178" s="3" t="s">
        <v>2</v>
      </c>
      <c r="G178" s="3">
        <v>18</v>
      </c>
      <c r="H178" s="3" t="s">
        <v>3</v>
      </c>
      <c r="I178" s="3">
        <v>1</v>
      </c>
      <c r="J178" s="3">
        <v>3405</v>
      </c>
      <c r="K178" s="3"/>
      <c r="L178" s="3"/>
      <c r="M178" s="3">
        <v>15.25</v>
      </c>
      <c r="N178" s="3">
        <f>J178-J178*M178/100</f>
        <v>2885.7375000000002</v>
      </c>
      <c r="O178" s="4">
        <f>N178+N178*18/100</f>
        <v>3405.1702500000001</v>
      </c>
      <c r="P178" s="3"/>
    </row>
    <row r="179" spans="1:16" x14ac:dyDescent="0.3">
      <c r="A179" s="2">
        <v>45443</v>
      </c>
      <c r="B179" s="3" t="s">
        <v>135</v>
      </c>
      <c r="C179" s="3" t="s">
        <v>95</v>
      </c>
      <c r="D179" s="3" t="s">
        <v>396</v>
      </c>
      <c r="E179" s="3" t="s">
        <v>219</v>
      </c>
      <c r="F179" s="3" t="s">
        <v>2</v>
      </c>
      <c r="G179" s="3">
        <v>18</v>
      </c>
      <c r="H179" s="3" t="s">
        <v>3</v>
      </c>
      <c r="I179" s="3">
        <v>1</v>
      </c>
      <c r="J179" s="3">
        <v>2260</v>
      </c>
      <c r="K179" s="3"/>
      <c r="L179" s="3"/>
      <c r="M179" s="3">
        <v>15.25</v>
      </c>
      <c r="N179" s="3">
        <f>J179-J179*M179/100</f>
        <v>1915.35</v>
      </c>
      <c r="O179" s="4">
        <f>N179+N179*18/100</f>
        <v>2260.1129999999998</v>
      </c>
      <c r="P179" s="3"/>
    </row>
    <row r="180" spans="1:16" x14ac:dyDescent="0.3">
      <c r="A180" s="2">
        <v>45443</v>
      </c>
      <c r="B180" s="3" t="s">
        <v>200</v>
      </c>
      <c r="C180" s="3" t="s">
        <v>9</v>
      </c>
      <c r="D180" s="3" t="s">
        <v>397</v>
      </c>
      <c r="E180" s="3" t="s">
        <v>219</v>
      </c>
      <c r="F180" s="3" t="s">
        <v>2</v>
      </c>
      <c r="G180" s="3">
        <v>18</v>
      </c>
      <c r="H180" s="3" t="s">
        <v>3</v>
      </c>
      <c r="I180" s="3">
        <v>1</v>
      </c>
      <c r="J180" s="3">
        <v>69410</v>
      </c>
      <c r="K180" s="3"/>
      <c r="L180" s="3"/>
      <c r="M180" s="3">
        <v>15.25</v>
      </c>
      <c r="N180" s="3">
        <f>J180-J180*M180/100</f>
        <v>58824.974999999999</v>
      </c>
      <c r="O180" s="4">
        <f>N180+N180*18/100</f>
        <v>69413.470499999996</v>
      </c>
      <c r="P180" s="3"/>
    </row>
    <row r="181" spans="1:16" x14ac:dyDescent="0.3">
      <c r="A181" s="2">
        <v>45443</v>
      </c>
      <c r="B181" s="3" t="s">
        <v>119</v>
      </c>
      <c r="C181" s="3" t="s">
        <v>96</v>
      </c>
      <c r="D181" s="3" t="s">
        <v>398</v>
      </c>
      <c r="E181" s="3" t="s">
        <v>219</v>
      </c>
      <c r="F181" s="3" t="s">
        <v>2</v>
      </c>
      <c r="G181" s="3">
        <v>18</v>
      </c>
      <c r="H181" s="3" t="s">
        <v>3</v>
      </c>
      <c r="I181" s="3">
        <v>1</v>
      </c>
      <c r="J181" s="3">
        <v>382</v>
      </c>
      <c r="K181" s="3"/>
      <c r="L181" s="3"/>
      <c r="M181" s="3">
        <v>15.25</v>
      </c>
      <c r="N181" s="3">
        <f>J181-J181*M181/100</f>
        <v>323.745</v>
      </c>
      <c r="O181" s="4">
        <f>N181+N181*18/100</f>
        <v>382.01909999999998</v>
      </c>
      <c r="P181" s="3"/>
    </row>
    <row r="182" spans="1:16" x14ac:dyDescent="0.3">
      <c r="A182" s="2">
        <v>45443</v>
      </c>
      <c r="B182" s="3" t="s">
        <v>191</v>
      </c>
      <c r="C182" s="3" t="s">
        <v>38</v>
      </c>
      <c r="D182" s="3" t="s">
        <v>399</v>
      </c>
      <c r="E182" s="3" t="s">
        <v>219</v>
      </c>
      <c r="F182" s="3" t="s">
        <v>2</v>
      </c>
      <c r="G182" s="3">
        <v>18</v>
      </c>
      <c r="H182" s="3" t="s">
        <v>3</v>
      </c>
      <c r="I182" s="3">
        <v>1</v>
      </c>
      <c r="J182" s="3">
        <v>15267</v>
      </c>
      <c r="K182" s="3"/>
      <c r="L182" s="3"/>
      <c r="M182" s="3">
        <v>15.25</v>
      </c>
      <c r="N182" s="3">
        <f>J182-J182*M182/100</f>
        <v>12938.782499999999</v>
      </c>
      <c r="O182" s="4">
        <f>N182+N182*18/100</f>
        <v>15267.763349999999</v>
      </c>
      <c r="P182" s="3"/>
    </row>
    <row r="183" spans="1:16" x14ac:dyDescent="0.3">
      <c r="A183" s="2">
        <v>45443</v>
      </c>
      <c r="B183" s="3" t="s">
        <v>163</v>
      </c>
      <c r="C183" s="3" t="s">
        <v>55</v>
      </c>
      <c r="D183" s="3" t="s">
        <v>400</v>
      </c>
      <c r="E183" s="3" t="s">
        <v>219</v>
      </c>
      <c r="F183" s="3" t="s">
        <v>26</v>
      </c>
      <c r="G183" s="3">
        <v>18</v>
      </c>
      <c r="H183" s="3" t="s">
        <v>27</v>
      </c>
      <c r="I183" s="3">
        <v>1</v>
      </c>
      <c r="J183" s="3">
        <v>3263</v>
      </c>
      <c r="K183" s="3"/>
      <c r="L183" s="3"/>
      <c r="M183" s="3">
        <v>15.25</v>
      </c>
      <c r="N183" s="3">
        <f>J183-J183*M183/100</f>
        <v>2765.3924999999999</v>
      </c>
      <c r="O183" s="4">
        <f>N183+N183*18/100</f>
        <v>3263.1631499999999</v>
      </c>
      <c r="P183" s="3"/>
    </row>
    <row r="184" spans="1:16" x14ac:dyDescent="0.3">
      <c r="A184" s="2">
        <v>45443</v>
      </c>
      <c r="B184" s="3" t="s">
        <v>156</v>
      </c>
      <c r="C184" s="3" t="s">
        <v>39</v>
      </c>
      <c r="D184" s="3" t="s">
        <v>401</v>
      </c>
      <c r="E184" s="3" t="s">
        <v>219</v>
      </c>
      <c r="F184" s="3" t="s">
        <v>2</v>
      </c>
      <c r="G184" s="3">
        <v>18</v>
      </c>
      <c r="H184" s="3" t="s">
        <v>3</v>
      </c>
      <c r="I184" s="3">
        <v>1</v>
      </c>
      <c r="J184" s="3">
        <v>181</v>
      </c>
      <c r="K184" s="3"/>
      <c r="L184" s="3"/>
      <c r="M184" s="3">
        <v>15.25</v>
      </c>
      <c r="N184" s="3">
        <f>J184-J184*M184/100</f>
        <v>153.39750000000001</v>
      </c>
      <c r="O184" s="4">
        <f>N184+N184*18/100</f>
        <v>181.00905</v>
      </c>
      <c r="P184" s="3"/>
    </row>
    <row r="185" spans="1:16" x14ac:dyDescent="0.3">
      <c r="A185" s="2">
        <v>45443</v>
      </c>
      <c r="B185" s="3" t="s">
        <v>158</v>
      </c>
      <c r="C185" s="3" t="s">
        <v>23</v>
      </c>
      <c r="D185" s="3" t="s">
        <v>402</v>
      </c>
      <c r="E185" s="3" t="s">
        <v>219</v>
      </c>
      <c r="F185" s="3" t="s">
        <v>2</v>
      </c>
      <c r="G185" s="3">
        <v>18</v>
      </c>
      <c r="H185" s="3" t="s">
        <v>3</v>
      </c>
      <c r="I185" s="3">
        <v>1</v>
      </c>
      <c r="J185" s="3">
        <v>2007</v>
      </c>
      <c r="K185" s="3"/>
      <c r="L185" s="3"/>
      <c r="M185" s="3">
        <v>15.25</v>
      </c>
      <c r="N185" s="3">
        <f>J185-J185*M185/100</f>
        <v>1700.9324999999999</v>
      </c>
      <c r="O185" s="4">
        <f>N185+N185*18/100</f>
        <v>2007.1003499999999</v>
      </c>
      <c r="P185" s="3"/>
    </row>
    <row r="186" spans="1:16" x14ac:dyDescent="0.3">
      <c r="A186" s="2">
        <v>45444</v>
      </c>
      <c r="B186" s="3" t="s">
        <v>155</v>
      </c>
      <c r="C186" s="3" t="s">
        <v>85</v>
      </c>
      <c r="D186" s="3" t="s">
        <v>403</v>
      </c>
      <c r="E186" s="3" t="s">
        <v>219</v>
      </c>
      <c r="F186" s="3" t="s">
        <v>2</v>
      </c>
      <c r="G186" s="3">
        <v>18</v>
      </c>
      <c r="H186" s="3" t="s">
        <v>3</v>
      </c>
      <c r="I186" s="3">
        <v>1</v>
      </c>
      <c r="J186" s="3">
        <v>8626</v>
      </c>
      <c r="K186" s="3"/>
      <c r="L186" s="3"/>
      <c r="M186" s="3">
        <v>15.25</v>
      </c>
      <c r="N186" s="3">
        <f>J186-J186*M186/100</f>
        <v>7310.5349999999999</v>
      </c>
      <c r="O186" s="4">
        <f>N186+N186*18/100</f>
        <v>8626.4313000000002</v>
      </c>
      <c r="P186" s="3"/>
    </row>
    <row r="187" spans="1:16" x14ac:dyDescent="0.3">
      <c r="A187" s="2">
        <v>45444</v>
      </c>
      <c r="B187" s="3" t="s">
        <v>135</v>
      </c>
      <c r="C187" s="3" t="s">
        <v>95</v>
      </c>
      <c r="D187" s="3" t="s">
        <v>404</v>
      </c>
      <c r="E187" s="3" t="s">
        <v>219</v>
      </c>
      <c r="F187" s="3" t="s">
        <v>2</v>
      </c>
      <c r="G187" s="3">
        <v>18</v>
      </c>
      <c r="H187" s="3" t="s">
        <v>3</v>
      </c>
      <c r="I187" s="3">
        <v>1</v>
      </c>
      <c r="J187" s="3">
        <v>7100</v>
      </c>
      <c r="K187" s="3"/>
      <c r="L187" s="3"/>
      <c r="M187" s="3">
        <v>15.25</v>
      </c>
      <c r="N187" s="3">
        <f>J187-J187*M187/100</f>
        <v>6017.25</v>
      </c>
      <c r="O187" s="4">
        <f>N187+N187*18/100</f>
        <v>7100.3549999999996</v>
      </c>
      <c r="P187" s="3"/>
    </row>
    <row r="188" spans="1:16" x14ac:dyDescent="0.3">
      <c r="A188" s="2">
        <v>45444</v>
      </c>
      <c r="B188" s="3" t="s">
        <v>128</v>
      </c>
      <c r="C188" s="3" t="s">
        <v>97</v>
      </c>
      <c r="D188" s="3" t="s">
        <v>405</v>
      </c>
      <c r="E188" s="3" t="s">
        <v>219</v>
      </c>
      <c r="F188" s="3" t="s">
        <v>2</v>
      </c>
      <c r="G188" s="3">
        <v>18</v>
      </c>
      <c r="H188" s="3" t="s">
        <v>3</v>
      </c>
      <c r="I188" s="3">
        <v>1</v>
      </c>
      <c r="J188" s="3">
        <v>150</v>
      </c>
      <c r="K188" s="3"/>
      <c r="L188" s="3"/>
      <c r="M188" s="3">
        <v>15.25</v>
      </c>
      <c r="N188" s="3">
        <f>J188-J188*M188/100</f>
        <v>127.125</v>
      </c>
      <c r="O188" s="4">
        <f>N188+N188*18/100</f>
        <v>150.00749999999999</v>
      </c>
      <c r="P188" s="3"/>
    </row>
    <row r="189" spans="1:16" x14ac:dyDescent="0.3">
      <c r="A189" s="2">
        <v>45444</v>
      </c>
      <c r="B189" s="3" t="s">
        <v>164</v>
      </c>
      <c r="C189" s="3" t="s">
        <v>59</v>
      </c>
      <c r="D189" s="3" t="s">
        <v>406</v>
      </c>
      <c r="E189" s="3" t="s">
        <v>219</v>
      </c>
      <c r="F189" s="3" t="s">
        <v>26</v>
      </c>
      <c r="G189" s="3">
        <v>18</v>
      </c>
      <c r="H189" s="3" t="s">
        <v>27</v>
      </c>
      <c r="I189" s="3">
        <v>1</v>
      </c>
      <c r="J189" s="3">
        <v>114</v>
      </c>
      <c r="K189" s="3"/>
      <c r="L189" s="3"/>
      <c r="M189" s="3">
        <v>15.25</v>
      </c>
      <c r="N189" s="3">
        <f>J189-J189*M189/100</f>
        <v>96.614999999999995</v>
      </c>
      <c r="O189" s="4">
        <f>N189+N189*18/100</f>
        <v>114.00569999999999</v>
      </c>
      <c r="P189" s="3"/>
    </row>
    <row r="190" spans="1:16" x14ac:dyDescent="0.3">
      <c r="A190" s="2">
        <v>45444</v>
      </c>
      <c r="B190" s="3" t="s">
        <v>151</v>
      </c>
      <c r="C190" s="3" t="s">
        <v>62</v>
      </c>
      <c r="D190" s="3" t="s">
        <v>407</v>
      </c>
      <c r="E190" s="3" t="s">
        <v>219</v>
      </c>
      <c r="F190" s="3" t="s">
        <v>26</v>
      </c>
      <c r="G190" s="3">
        <v>18</v>
      </c>
      <c r="H190" s="3" t="s">
        <v>27</v>
      </c>
      <c r="I190" s="3">
        <v>1</v>
      </c>
      <c r="J190" s="3">
        <v>714</v>
      </c>
      <c r="K190" s="3"/>
      <c r="L190" s="3"/>
      <c r="M190" s="3">
        <v>15.25</v>
      </c>
      <c r="N190" s="3">
        <f>J190-J190*M190/100</f>
        <v>605.11500000000001</v>
      </c>
      <c r="O190" s="4">
        <f>N190+N190*18/100</f>
        <v>714.03570000000002</v>
      </c>
      <c r="P190" s="3"/>
    </row>
    <row r="191" spans="1:16" x14ac:dyDescent="0.3">
      <c r="A191" s="2">
        <v>45444</v>
      </c>
      <c r="B191" s="3" t="s">
        <v>113</v>
      </c>
      <c r="C191" s="3" t="s">
        <v>44</v>
      </c>
      <c r="D191" s="3" t="s">
        <v>408</v>
      </c>
      <c r="E191" s="3" t="s">
        <v>219</v>
      </c>
      <c r="F191" s="3" t="s">
        <v>26</v>
      </c>
      <c r="G191" s="3">
        <v>18</v>
      </c>
      <c r="H191" s="3" t="s">
        <v>27</v>
      </c>
      <c r="I191" s="3">
        <v>1</v>
      </c>
      <c r="J191" s="3">
        <v>752</v>
      </c>
      <c r="K191" s="3"/>
      <c r="L191" s="3"/>
      <c r="M191" s="3">
        <v>15.25</v>
      </c>
      <c r="N191" s="3">
        <f>J191-J191*M191/100</f>
        <v>637.31999999999994</v>
      </c>
      <c r="O191" s="4">
        <f>N191+N191*18/100</f>
        <v>752.03759999999988</v>
      </c>
      <c r="P191" s="3"/>
    </row>
    <row r="192" spans="1:16" x14ac:dyDescent="0.3">
      <c r="A192" s="2">
        <v>45444</v>
      </c>
      <c r="B192" s="3" t="s">
        <v>162</v>
      </c>
      <c r="C192" s="3" t="s">
        <v>63</v>
      </c>
      <c r="D192" s="3" t="s">
        <v>409</v>
      </c>
      <c r="E192" s="3" t="s">
        <v>219</v>
      </c>
      <c r="F192" s="3" t="s">
        <v>26</v>
      </c>
      <c r="G192" s="3">
        <v>18</v>
      </c>
      <c r="H192" s="3" t="s">
        <v>27</v>
      </c>
      <c r="I192" s="3">
        <v>1</v>
      </c>
      <c r="J192" s="3">
        <v>688</v>
      </c>
      <c r="K192" s="3"/>
      <c r="L192" s="3"/>
      <c r="M192" s="3">
        <v>15.25</v>
      </c>
      <c r="N192" s="3">
        <f>J192-J192*M192/100</f>
        <v>583.08000000000004</v>
      </c>
      <c r="O192" s="4">
        <f>N192+N192*18/100</f>
        <v>688.03440000000001</v>
      </c>
      <c r="P192" s="3"/>
    </row>
    <row r="193" spans="1:16" x14ac:dyDescent="0.3">
      <c r="A193" s="2">
        <v>45444</v>
      </c>
      <c r="B193" s="3" t="s">
        <v>168</v>
      </c>
      <c r="C193" s="3" t="s">
        <v>98</v>
      </c>
      <c r="D193" s="3" t="s">
        <v>410</v>
      </c>
      <c r="E193" s="3" t="s">
        <v>219</v>
      </c>
      <c r="F193" s="3" t="s">
        <v>26</v>
      </c>
      <c r="G193" s="3">
        <v>18</v>
      </c>
      <c r="H193" s="3" t="s">
        <v>27</v>
      </c>
      <c r="I193" s="3">
        <v>1</v>
      </c>
      <c r="J193" s="3">
        <v>255</v>
      </c>
      <c r="K193" s="3"/>
      <c r="L193" s="3"/>
      <c r="M193" s="3">
        <v>15.25</v>
      </c>
      <c r="N193" s="3">
        <f>J193-J193*M193/100</f>
        <v>216.11250000000001</v>
      </c>
      <c r="O193" s="4">
        <f>N193+N193*18/100</f>
        <v>255.01275000000001</v>
      </c>
      <c r="P193" s="3"/>
    </row>
    <row r="194" spans="1:16" x14ac:dyDescent="0.3">
      <c r="A194" s="2">
        <v>45444</v>
      </c>
      <c r="B194" s="3" t="s">
        <v>175</v>
      </c>
      <c r="C194" s="3" t="s">
        <v>53</v>
      </c>
      <c r="D194" s="3" t="s">
        <v>411</v>
      </c>
      <c r="E194" s="3" t="s">
        <v>219</v>
      </c>
      <c r="F194" s="3" t="s">
        <v>26</v>
      </c>
      <c r="G194" s="3">
        <v>18</v>
      </c>
      <c r="H194" s="3" t="s">
        <v>27</v>
      </c>
      <c r="I194" s="3">
        <v>1</v>
      </c>
      <c r="J194" s="3">
        <v>398</v>
      </c>
      <c r="K194" s="3"/>
      <c r="L194" s="3"/>
      <c r="M194" s="3">
        <v>15.25</v>
      </c>
      <c r="N194" s="3">
        <f>J194-J194*M194/100</f>
        <v>337.30500000000001</v>
      </c>
      <c r="O194" s="4">
        <f>N194+N194*18/100</f>
        <v>398.01990000000001</v>
      </c>
      <c r="P194" s="3"/>
    </row>
    <row r="195" spans="1:16" x14ac:dyDescent="0.3">
      <c r="A195" s="2">
        <v>45444</v>
      </c>
      <c r="B195" s="3" t="s">
        <v>160</v>
      </c>
      <c r="C195" s="3" t="s">
        <v>54</v>
      </c>
      <c r="D195" s="3" t="s">
        <v>412</v>
      </c>
      <c r="E195" s="3" t="s">
        <v>219</v>
      </c>
      <c r="F195" s="3" t="s">
        <v>26</v>
      </c>
      <c r="G195" s="3">
        <v>18</v>
      </c>
      <c r="H195" s="3" t="s">
        <v>27</v>
      </c>
      <c r="I195" s="3">
        <v>1</v>
      </c>
      <c r="J195" s="3">
        <v>629</v>
      </c>
      <c r="K195" s="3"/>
      <c r="L195" s="3"/>
      <c r="M195" s="3">
        <v>15.25</v>
      </c>
      <c r="N195" s="3">
        <f>J195-J195*M195/100</f>
        <v>533.07749999999999</v>
      </c>
      <c r="O195" s="4">
        <f>N195+N195*18/100</f>
        <v>629.03144999999995</v>
      </c>
      <c r="P195" s="3"/>
    </row>
    <row r="196" spans="1:16" x14ac:dyDescent="0.3">
      <c r="A196" s="2">
        <v>45444</v>
      </c>
      <c r="B196" s="3" t="s">
        <v>129</v>
      </c>
      <c r="C196" s="3" t="s">
        <v>51</v>
      </c>
      <c r="D196" s="3" t="s">
        <v>413</v>
      </c>
      <c r="E196" s="3" t="s">
        <v>219</v>
      </c>
      <c r="F196" s="3" t="s">
        <v>26</v>
      </c>
      <c r="G196" s="3">
        <v>18</v>
      </c>
      <c r="H196" s="3" t="s">
        <v>27</v>
      </c>
      <c r="I196" s="3">
        <v>1</v>
      </c>
      <c r="J196" s="3">
        <v>331</v>
      </c>
      <c r="K196" s="3"/>
      <c r="L196" s="3"/>
      <c r="M196" s="3">
        <v>15.25</v>
      </c>
      <c r="N196" s="3">
        <f>J196-J196*M196/100</f>
        <v>280.52249999999998</v>
      </c>
      <c r="O196" s="4">
        <f>N196+N196*18/100</f>
        <v>331.01655</v>
      </c>
      <c r="P196" s="3"/>
    </row>
    <row r="197" spans="1:16" x14ac:dyDescent="0.3">
      <c r="A197" s="2">
        <v>45444</v>
      </c>
      <c r="B197" s="3" t="s">
        <v>134</v>
      </c>
      <c r="C197" s="3" t="s">
        <v>68</v>
      </c>
      <c r="D197" s="3" t="s">
        <v>414</v>
      </c>
      <c r="E197" s="3" t="s">
        <v>219</v>
      </c>
      <c r="F197" s="3" t="s">
        <v>26</v>
      </c>
      <c r="G197" s="3">
        <v>18</v>
      </c>
      <c r="H197" s="3" t="s">
        <v>27</v>
      </c>
      <c r="I197" s="3">
        <v>1</v>
      </c>
      <c r="J197" s="3">
        <v>2925</v>
      </c>
      <c r="K197" s="3"/>
      <c r="L197" s="3"/>
      <c r="M197" s="3">
        <v>15.25</v>
      </c>
      <c r="N197" s="3">
        <f>J197-J197*M197/100</f>
        <v>2478.9375</v>
      </c>
      <c r="O197" s="4">
        <f>N197+N197*18/100</f>
        <v>2925.1462499999998</v>
      </c>
      <c r="P197" s="3"/>
    </row>
    <row r="198" spans="1:16" x14ac:dyDescent="0.3">
      <c r="A198" s="2">
        <v>45444</v>
      </c>
      <c r="B198" s="3" t="s">
        <v>152</v>
      </c>
      <c r="C198" s="3" t="s">
        <v>42</v>
      </c>
      <c r="D198" s="3" t="s">
        <v>415</v>
      </c>
      <c r="E198" s="3" t="s">
        <v>219</v>
      </c>
      <c r="F198" s="3" t="s">
        <v>26</v>
      </c>
      <c r="G198" s="3">
        <v>18</v>
      </c>
      <c r="H198" s="3" t="s">
        <v>27</v>
      </c>
      <c r="I198" s="3">
        <v>1</v>
      </c>
      <c r="J198" s="3">
        <v>17679</v>
      </c>
      <c r="K198" s="3"/>
      <c r="L198" s="3"/>
      <c r="M198" s="3">
        <v>15.25</v>
      </c>
      <c r="N198" s="3">
        <f>J198-J198*M198/100</f>
        <v>14982.952499999999</v>
      </c>
      <c r="O198" s="4">
        <f>N198+N198*18/100</f>
        <v>17679.883949999999</v>
      </c>
      <c r="P198" s="3"/>
    </row>
    <row r="199" spans="1:16" x14ac:dyDescent="0.3">
      <c r="A199" s="2">
        <v>45444</v>
      </c>
      <c r="B199" s="3" t="s">
        <v>152</v>
      </c>
      <c r="C199" s="3" t="s">
        <v>42</v>
      </c>
      <c r="D199" s="3" t="s">
        <v>416</v>
      </c>
      <c r="E199" s="3" t="s">
        <v>219</v>
      </c>
      <c r="F199" s="3" t="s">
        <v>26</v>
      </c>
      <c r="G199" s="3">
        <v>18</v>
      </c>
      <c r="H199" s="3" t="s">
        <v>27</v>
      </c>
      <c r="I199" s="3">
        <v>1</v>
      </c>
      <c r="J199" s="3">
        <v>12100</v>
      </c>
      <c r="K199" s="3"/>
      <c r="L199" s="3"/>
      <c r="M199" s="3">
        <v>15.25</v>
      </c>
      <c r="N199" s="3">
        <f>J199-J199*M199/100</f>
        <v>10254.75</v>
      </c>
      <c r="O199" s="4">
        <f>N199+N199*18/100</f>
        <v>12100.605</v>
      </c>
      <c r="P199" s="3"/>
    </row>
    <row r="200" spans="1:16" x14ac:dyDescent="0.3">
      <c r="A200" s="2">
        <v>45446</v>
      </c>
      <c r="B200" s="3" t="s">
        <v>173</v>
      </c>
      <c r="C200" s="3" t="s">
        <v>99</v>
      </c>
      <c r="D200" s="3" t="s">
        <v>417</v>
      </c>
      <c r="E200" s="3" t="s">
        <v>219</v>
      </c>
      <c r="F200" s="3" t="s">
        <v>2</v>
      </c>
      <c r="G200" s="3">
        <v>18</v>
      </c>
      <c r="H200" s="3" t="s">
        <v>3</v>
      </c>
      <c r="I200" s="3">
        <v>1</v>
      </c>
      <c r="J200" s="3">
        <v>17592</v>
      </c>
      <c r="K200" s="3"/>
      <c r="L200" s="3"/>
      <c r="M200" s="3">
        <v>15.25</v>
      </c>
      <c r="N200" s="3">
        <f>J200-J200*M200/100</f>
        <v>14909.22</v>
      </c>
      <c r="O200" s="4">
        <f>N200+N200*18/100</f>
        <v>17592.8796</v>
      </c>
      <c r="P200" s="3"/>
    </row>
    <row r="201" spans="1:16" x14ac:dyDescent="0.3">
      <c r="A201" s="2">
        <v>45447</v>
      </c>
      <c r="B201" s="3" t="s">
        <v>167</v>
      </c>
      <c r="C201" s="3" t="s">
        <v>100</v>
      </c>
      <c r="D201" s="3" t="s">
        <v>418</v>
      </c>
      <c r="E201" s="3" t="s">
        <v>219</v>
      </c>
      <c r="F201" s="3" t="s">
        <v>26</v>
      </c>
      <c r="G201" s="3">
        <v>18</v>
      </c>
      <c r="H201" s="3" t="s">
        <v>27</v>
      </c>
      <c r="I201" s="3">
        <v>1</v>
      </c>
      <c r="J201" s="3">
        <v>130</v>
      </c>
      <c r="K201" s="3"/>
      <c r="L201" s="3"/>
      <c r="M201" s="3">
        <v>15.25</v>
      </c>
      <c r="N201" s="3">
        <f>J201-J201*M201/100</f>
        <v>110.175</v>
      </c>
      <c r="O201" s="4">
        <f>N201+N201*18/100</f>
        <v>130.00649999999999</v>
      </c>
      <c r="P201" s="3"/>
    </row>
    <row r="202" spans="1:16" x14ac:dyDescent="0.3">
      <c r="A202" s="2">
        <v>45447</v>
      </c>
      <c r="B202" s="3" t="s">
        <v>176</v>
      </c>
      <c r="C202" s="3" t="s">
        <v>72</v>
      </c>
      <c r="D202" s="3" t="s">
        <v>419</v>
      </c>
      <c r="E202" s="3" t="s">
        <v>219</v>
      </c>
      <c r="F202" s="3" t="s">
        <v>26</v>
      </c>
      <c r="G202" s="3">
        <v>18</v>
      </c>
      <c r="H202" s="3" t="s">
        <v>27</v>
      </c>
      <c r="I202" s="3">
        <v>1</v>
      </c>
      <c r="J202" s="3">
        <v>619</v>
      </c>
      <c r="K202" s="3"/>
      <c r="L202" s="3"/>
      <c r="M202" s="3">
        <v>15.25</v>
      </c>
      <c r="N202" s="3">
        <f>J202-J202*M202/100</f>
        <v>524.60249999999996</v>
      </c>
      <c r="O202" s="4">
        <f>N202+N202*18/100</f>
        <v>619.03094999999996</v>
      </c>
      <c r="P202" s="3"/>
    </row>
    <row r="203" spans="1:16" x14ac:dyDescent="0.3">
      <c r="A203" s="2">
        <v>45447</v>
      </c>
      <c r="B203" s="3" t="s">
        <v>177</v>
      </c>
      <c r="C203" s="3" t="s">
        <v>81</v>
      </c>
      <c r="D203" s="3" t="s">
        <v>420</v>
      </c>
      <c r="E203" s="3" t="s">
        <v>219</v>
      </c>
      <c r="F203" s="3" t="s">
        <v>26</v>
      </c>
      <c r="G203" s="3">
        <v>18</v>
      </c>
      <c r="H203" s="3" t="s">
        <v>27</v>
      </c>
      <c r="I203" s="3">
        <v>1</v>
      </c>
      <c r="J203" s="3">
        <v>817</v>
      </c>
      <c r="K203" s="3"/>
      <c r="L203" s="3"/>
      <c r="M203" s="3">
        <v>15.25</v>
      </c>
      <c r="N203" s="3">
        <f>J203-J203*M203/100</f>
        <v>692.40750000000003</v>
      </c>
      <c r="O203" s="4">
        <f>N203+N203*18/100</f>
        <v>817.04085000000009</v>
      </c>
      <c r="P203" s="3"/>
    </row>
    <row r="204" spans="1:16" x14ac:dyDescent="0.3">
      <c r="A204" s="2">
        <v>45449</v>
      </c>
      <c r="B204" s="3" t="s">
        <v>196</v>
      </c>
      <c r="C204" s="3" t="s">
        <v>82</v>
      </c>
      <c r="D204" s="3" t="s">
        <v>421</v>
      </c>
      <c r="E204" s="3" t="s">
        <v>219</v>
      </c>
      <c r="F204" s="3" t="s">
        <v>26</v>
      </c>
      <c r="G204" s="3">
        <v>18</v>
      </c>
      <c r="H204" s="3" t="s">
        <v>27</v>
      </c>
      <c r="I204" s="3">
        <v>1</v>
      </c>
      <c r="J204" s="3">
        <v>216.5</v>
      </c>
      <c r="K204" s="3"/>
      <c r="L204" s="3"/>
      <c r="M204" s="3">
        <v>15.25</v>
      </c>
      <c r="N204" s="3">
        <f>J204-J204*M204/100</f>
        <v>183.48374999999999</v>
      </c>
      <c r="O204" s="4">
        <f>N204+N204*18/100</f>
        <v>216.51082499999998</v>
      </c>
      <c r="P204" s="3"/>
    </row>
    <row r="205" spans="1:16" x14ac:dyDescent="0.3">
      <c r="A205" s="2">
        <v>45449</v>
      </c>
      <c r="B205" s="3" t="s">
        <v>198</v>
      </c>
      <c r="C205" s="3" t="s">
        <v>52</v>
      </c>
      <c r="D205" s="3" t="s">
        <v>422</v>
      </c>
      <c r="E205" s="3" t="s">
        <v>219</v>
      </c>
      <c r="F205" s="3" t="s">
        <v>26</v>
      </c>
      <c r="G205" s="3">
        <v>18</v>
      </c>
      <c r="H205" s="3" t="s">
        <v>27</v>
      </c>
      <c r="I205" s="3">
        <v>1</v>
      </c>
      <c r="J205" s="3">
        <v>371</v>
      </c>
      <c r="K205" s="3"/>
      <c r="L205" s="3"/>
      <c r="M205" s="3">
        <v>15.25</v>
      </c>
      <c r="N205" s="3">
        <f>J205-J205*M205/100</f>
        <v>314.42250000000001</v>
      </c>
      <c r="O205" s="4">
        <f>N205+N205*18/100</f>
        <v>371.01855</v>
      </c>
      <c r="P205" s="3"/>
    </row>
    <row r="206" spans="1:16" x14ac:dyDescent="0.3">
      <c r="A206" s="2">
        <v>45450</v>
      </c>
      <c r="B206" s="3" t="s">
        <v>122</v>
      </c>
      <c r="C206" s="3" t="s">
        <v>101</v>
      </c>
      <c r="D206" s="3" t="s">
        <v>423</v>
      </c>
      <c r="E206" s="3" t="s">
        <v>219</v>
      </c>
      <c r="F206" s="3" t="s">
        <v>26</v>
      </c>
      <c r="G206" s="3">
        <v>18</v>
      </c>
      <c r="H206" s="3" t="s">
        <v>27</v>
      </c>
      <c r="I206" s="3">
        <v>1</v>
      </c>
      <c r="J206" s="3">
        <v>848</v>
      </c>
      <c r="K206" s="3"/>
      <c r="L206" s="3"/>
      <c r="M206" s="3">
        <v>15.25</v>
      </c>
      <c r="N206" s="3">
        <f>J206-J206*M206/100</f>
        <v>718.68000000000006</v>
      </c>
      <c r="O206" s="4">
        <f>N206+N206*18/100</f>
        <v>848.04240000000004</v>
      </c>
      <c r="P206" s="3"/>
    </row>
    <row r="207" spans="1:16" x14ac:dyDescent="0.3">
      <c r="A207" s="2">
        <v>45450</v>
      </c>
      <c r="B207" s="3" t="s">
        <v>120</v>
      </c>
      <c r="C207" s="3" t="s">
        <v>102</v>
      </c>
      <c r="D207" s="3" t="s">
        <v>424</v>
      </c>
      <c r="E207" s="3" t="s">
        <v>219</v>
      </c>
      <c r="F207" s="3" t="s">
        <v>26</v>
      </c>
      <c r="G207" s="3">
        <v>18</v>
      </c>
      <c r="H207" s="3" t="s">
        <v>27</v>
      </c>
      <c r="I207" s="3">
        <v>1</v>
      </c>
      <c r="J207" s="3">
        <v>314</v>
      </c>
      <c r="K207" s="3"/>
      <c r="L207" s="3"/>
      <c r="M207" s="3">
        <v>15.25</v>
      </c>
      <c r="N207" s="3">
        <f>J207-J207*M207/100</f>
        <v>266.11500000000001</v>
      </c>
      <c r="O207" s="4">
        <f>N207+N207*18/100</f>
        <v>314.01570000000004</v>
      </c>
      <c r="P207" s="3"/>
    </row>
    <row r="208" spans="1:16" x14ac:dyDescent="0.3">
      <c r="A208" s="2">
        <v>45450</v>
      </c>
      <c r="B208" s="3" t="s">
        <v>153</v>
      </c>
      <c r="C208" s="3" t="s">
        <v>58</v>
      </c>
      <c r="D208" s="3" t="s">
        <v>425</v>
      </c>
      <c r="E208" s="3" t="s">
        <v>219</v>
      </c>
      <c r="F208" s="3" t="s">
        <v>26</v>
      </c>
      <c r="G208" s="3">
        <v>18</v>
      </c>
      <c r="H208" s="3" t="s">
        <v>27</v>
      </c>
      <c r="I208" s="3">
        <v>1</v>
      </c>
      <c r="J208" s="3">
        <v>498</v>
      </c>
      <c r="K208" s="3"/>
      <c r="L208" s="3"/>
      <c r="M208" s="3">
        <v>15.25</v>
      </c>
      <c r="N208" s="3">
        <f>J208-J208*M208/100</f>
        <v>422.05500000000001</v>
      </c>
      <c r="O208" s="4">
        <f>N208+N208*18/100</f>
        <v>498.0249</v>
      </c>
      <c r="P208" s="3"/>
    </row>
    <row r="209" spans="1:16" x14ac:dyDescent="0.3">
      <c r="A209" s="2">
        <v>45450</v>
      </c>
      <c r="B209" s="3" t="s">
        <v>138</v>
      </c>
      <c r="C209" s="3" t="s">
        <v>69</v>
      </c>
      <c r="D209" s="3" t="s">
        <v>426</v>
      </c>
      <c r="E209" s="3" t="s">
        <v>219</v>
      </c>
      <c r="F209" s="3" t="s">
        <v>26</v>
      </c>
      <c r="G209" s="3">
        <v>18</v>
      </c>
      <c r="H209" s="3" t="s">
        <v>27</v>
      </c>
      <c r="I209" s="3">
        <v>1</v>
      </c>
      <c r="J209" s="3">
        <v>186</v>
      </c>
      <c r="K209" s="3"/>
      <c r="L209" s="3"/>
      <c r="M209" s="3">
        <v>15.25</v>
      </c>
      <c r="N209" s="3">
        <f>J209-J209*M209/100</f>
        <v>157.63499999999999</v>
      </c>
      <c r="O209" s="4">
        <f>N209+N209*18/100</f>
        <v>186.0093</v>
      </c>
      <c r="P209" s="3"/>
    </row>
    <row r="210" spans="1:16" x14ac:dyDescent="0.3">
      <c r="A210" s="2">
        <v>45450</v>
      </c>
      <c r="B210" s="3" t="s">
        <v>153</v>
      </c>
      <c r="C210" s="3" t="s">
        <v>58</v>
      </c>
      <c r="D210" s="3" t="s">
        <v>427</v>
      </c>
      <c r="E210" s="3" t="s">
        <v>219</v>
      </c>
      <c r="F210" s="3" t="s">
        <v>26</v>
      </c>
      <c r="G210" s="3">
        <v>18</v>
      </c>
      <c r="H210" s="3" t="s">
        <v>27</v>
      </c>
      <c r="I210" s="3">
        <v>1</v>
      </c>
      <c r="J210" s="3">
        <v>288</v>
      </c>
      <c r="K210" s="3"/>
      <c r="L210" s="3"/>
      <c r="M210" s="3">
        <v>15.25</v>
      </c>
      <c r="N210" s="3">
        <f>J210-J210*M210/100</f>
        <v>244.07999999999998</v>
      </c>
      <c r="O210" s="4">
        <f>N210+N210*18/100</f>
        <v>288.01439999999997</v>
      </c>
      <c r="P210" s="3"/>
    </row>
    <row r="211" spans="1:16" x14ac:dyDescent="0.3">
      <c r="A211" s="2">
        <v>45450</v>
      </c>
      <c r="B211" s="3" t="s">
        <v>157</v>
      </c>
      <c r="C211" s="3" t="s">
        <v>24</v>
      </c>
      <c r="D211" s="3" t="s">
        <v>428</v>
      </c>
      <c r="E211" s="3" t="s">
        <v>219</v>
      </c>
      <c r="F211" s="3" t="s">
        <v>26</v>
      </c>
      <c r="G211" s="3">
        <v>18</v>
      </c>
      <c r="H211" s="3" t="s">
        <v>27</v>
      </c>
      <c r="I211" s="3">
        <v>1</v>
      </c>
      <c r="J211" s="3">
        <v>1325</v>
      </c>
      <c r="K211" s="3"/>
      <c r="L211" s="3"/>
      <c r="M211" s="3">
        <v>15.25</v>
      </c>
      <c r="N211" s="3">
        <f>J211-J211*M211/100</f>
        <v>1122.9375</v>
      </c>
      <c r="O211" s="4">
        <f>N211+N211*18/100</f>
        <v>1325.0662500000001</v>
      </c>
      <c r="P211" s="3"/>
    </row>
    <row r="212" spans="1:16" x14ac:dyDescent="0.3">
      <c r="A212" s="2">
        <v>45450</v>
      </c>
      <c r="B212" s="3" t="s">
        <v>187</v>
      </c>
      <c r="C212" s="3" t="s">
        <v>86</v>
      </c>
      <c r="D212" s="3" t="s">
        <v>429</v>
      </c>
      <c r="E212" s="3" t="s">
        <v>219</v>
      </c>
      <c r="F212" s="3" t="s">
        <v>26</v>
      </c>
      <c r="G212" s="3">
        <v>18</v>
      </c>
      <c r="H212" s="3" t="s">
        <v>27</v>
      </c>
      <c r="I212" s="3">
        <v>1</v>
      </c>
      <c r="J212" s="3">
        <v>684</v>
      </c>
      <c r="K212" s="3"/>
      <c r="L212" s="3"/>
      <c r="M212" s="3">
        <v>15.25</v>
      </c>
      <c r="N212" s="3">
        <f>J212-J212*M212/100</f>
        <v>579.69000000000005</v>
      </c>
      <c r="O212" s="4">
        <f>N212+N212*18/100</f>
        <v>684.03420000000006</v>
      </c>
      <c r="P212" s="3"/>
    </row>
    <row r="213" spans="1:16" x14ac:dyDescent="0.3">
      <c r="A213" s="2">
        <v>45451</v>
      </c>
      <c r="B213" s="3" t="s">
        <v>113</v>
      </c>
      <c r="C213" s="3" t="s">
        <v>44</v>
      </c>
      <c r="D213" s="3" t="s">
        <v>430</v>
      </c>
      <c r="E213" s="3" t="s">
        <v>219</v>
      </c>
      <c r="F213" s="3" t="s">
        <v>26</v>
      </c>
      <c r="G213" s="3">
        <v>18</v>
      </c>
      <c r="H213" s="3" t="s">
        <v>27</v>
      </c>
      <c r="I213" s="3">
        <v>1</v>
      </c>
      <c r="J213" s="3">
        <v>1572</v>
      </c>
      <c r="K213" s="3"/>
      <c r="L213" s="3"/>
      <c r="M213" s="3">
        <v>15.25</v>
      </c>
      <c r="N213" s="3">
        <f>J213-J213*M213/100</f>
        <v>1332.27</v>
      </c>
      <c r="O213" s="4">
        <f>N213+N213*18/100</f>
        <v>1572.0786000000001</v>
      </c>
      <c r="P213" s="3"/>
    </row>
    <row r="214" spans="1:16" x14ac:dyDescent="0.3">
      <c r="A214" s="2">
        <v>45451</v>
      </c>
      <c r="B214" s="3" t="s">
        <v>125</v>
      </c>
      <c r="C214" s="3" t="s">
        <v>90</v>
      </c>
      <c r="D214" s="3" t="s">
        <v>431</v>
      </c>
      <c r="E214" s="3" t="s">
        <v>219</v>
      </c>
      <c r="F214" s="3" t="s">
        <v>26</v>
      </c>
      <c r="G214" s="3">
        <v>18</v>
      </c>
      <c r="H214" s="3" t="s">
        <v>27</v>
      </c>
      <c r="I214" s="3">
        <v>1</v>
      </c>
      <c r="J214" s="3">
        <v>1529</v>
      </c>
      <c r="K214" s="3"/>
      <c r="L214" s="3"/>
      <c r="M214" s="3">
        <v>15.25</v>
      </c>
      <c r="N214" s="3">
        <f>J214-J214*M214/100</f>
        <v>1295.8274999999999</v>
      </c>
      <c r="O214" s="4">
        <f>N214+N214*18/100</f>
        <v>1529.0764499999998</v>
      </c>
      <c r="P214" s="3"/>
    </row>
    <row r="215" spans="1:16" x14ac:dyDescent="0.3">
      <c r="A215" s="2">
        <v>45451</v>
      </c>
      <c r="B215" s="3" t="s">
        <v>153</v>
      </c>
      <c r="C215" s="3" t="s">
        <v>58</v>
      </c>
      <c r="D215" s="3" t="s">
        <v>432</v>
      </c>
      <c r="E215" s="3" t="s">
        <v>219</v>
      </c>
      <c r="F215" s="3" t="s">
        <v>26</v>
      </c>
      <c r="G215" s="3">
        <v>18</v>
      </c>
      <c r="H215" s="3" t="s">
        <v>27</v>
      </c>
      <c r="I215" s="3">
        <v>1</v>
      </c>
      <c r="J215" s="3">
        <v>289</v>
      </c>
      <c r="K215" s="3"/>
      <c r="L215" s="3"/>
      <c r="M215" s="3">
        <v>15.25</v>
      </c>
      <c r="N215" s="3">
        <f>J215-J215*M215/100</f>
        <v>244.92750000000001</v>
      </c>
      <c r="O215" s="4">
        <f>N215+N215*18/100</f>
        <v>289.01445000000001</v>
      </c>
      <c r="P215" s="3"/>
    </row>
    <row r="216" spans="1:16" x14ac:dyDescent="0.3">
      <c r="A216" s="2">
        <v>45451</v>
      </c>
      <c r="B216" s="3" t="s">
        <v>136</v>
      </c>
      <c r="C216" s="3" t="s">
        <v>57</v>
      </c>
      <c r="D216" s="3" t="s">
        <v>433</v>
      </c>
      <c r="E216" s="3" t="s">
        <v>219</v>
      </c>
      <c r="F216" s="3" t="s">
        <v>26</v>
      </c>
      <c r="G216" s="3">
        <v>18</v>
      </c>
      <c r="H216" s="3" t="s">
        <v>27</v>
      </c>
      <c r="I216" s="3">
        <v>1</v>
      </c>
      <c r="J216" s="3">
        <v>346</v>
      </c>
      <c r="K216" s="3"/>
      <c r="L216" s="3"/>
      <c r="M216" s="3">
        <v>15.25</v>
      </c>
      <c r="N216" s="3">
        <f>J216-J216*M216/100</f>
        <v>293.23500000000001</v>
      </c>
      <c r="O216" s="4">
        <f>N216+N216*18/100</f>
        <v>346.01730000000003</v>
      </c>
      <c r="P216" s="3"/>
    </row>
    <row r="217" spans="1:16" x14ac:dyDescent="0.3">
      <c r="A217" s="2">
        <v>45451</v>
      </c>
      <c r="B217" s="3" t="s">
        <v>151</v>
      </c>
      <c r="C217" s="3" t="s">
        <v>62</v>
      </c>
      <c r="D217" s="3" t="s">
        <v>434</v>
      </c>
      <c r="E217" s="3" t="s">
        <v>219</v>
      </c>
      <c r="F217" s="3" t="s">
        <v>26</v>
      </c>
      <c r="G217" s="3">
        <v>18</v>
      </c>
      <c r="H217" s="3" t="s">
        <v>27</v>
      </c>
      <c r="I217" s="3">
        <v>1</v>
      </c>
      <c r="J217" s="3">
        <v>733</v>
      </c>
      <c r="K217" s="3"/>
      <c r="L217" s="3"/>
      <c r="M217" s="3">
        <v>15.25</v>
      </c>
      <c r="N217" s="3">
        <f>J217-J217*M217/100</f>
        <v>621.21749999999997</v>
      </c>
      <c r="O217" s="4">
        <f>N217+N217*18/100</f>
        <v>733.03665000000001</v>
      </c>
      <c r="P217" s="3"/>
    </row>
    <row r="218" spans="1:16" x14ac:dyDescent="0.3">
      <c r="A218" s="2">
        <v>45451</v>
      </c>
      <c r="B218" s="3" t="s">
        <v>118</v>
      </c>
      <c r="C218" s="3" t="s">
        <v>14</v>
      </c>
      <c r="D218" s="3" t="s">
        <v>435</v>
      </c>
      <c r="E218" s="3" t="s">
        <v>219</v>
      </c>
      <c r="F218" s="3" t="s">
        <v>2</v>
      </c>
      <c r="G218" s="3">
        <v>18</v>
      </c>
      <c r="H218" s="3" t="s">
        <v>3</v>
      </c>
      <c r="I218" s="3">
        <v>1</v>
      </c>
      <c r="J218" s="3">
        <v>3640</v>
      </c>
      <c r="K218" s="3"/>
      <c r="L218" s="3"/>
      <c r="M218" s="3">
        <v>15.25</v>
      </c>
      <c r="N218" s="3">
        <f>J218-J218*M218/100</f>
        <v>3084.9</v>
      </c>
      <c r="O218" s="4">
        <f>N218+N218*18/100</f>
        <v>3640.1820000000002</v>
      </c>
      <c r="P218" s="3"/>
    </row>
    <row r="219" spans="1:16" x14ac:dyDescent="0.3">
      <c r="A219" s="2">
        <v>45453</v>
      </c>
      <c r="B219" s="3" t="s">
        <v>118</v>
      </c>
      <c r="C219" s="3" t="s">
        <v>14</v>
      </c>
      <c r="D219" s="3" t="s">
        <v>436</v>
      </c>
      <c r="E219" s="3" t="s">
        <v>219</v>
      </c>
      <c r="F219" s="3" t="s">
        <v>5</v>
      </c>
      <c r="G219" s="3">
        <v>18</v>
      </c>
      <c r="H219" s="3" t="s">
        <v>6</v>
      </c>
      <c r="I219" s="3">
        <v>1</v>
      </c>
      <c r="J219" s="3">
        <v>300</v>
      </c>
      <c r="K219" s="3"/>
      <c r="L219" s="3"/>
      <c r="M219" s="3">
        <v>15.25</v>
      </c>
      <c r="N219" s="3">
        <f>J219-J219*M219/100</f>
        <v>254.25</v>
      </c>
      <c r="O219" s="4">
        <f>N219+N219*18/100</f>
        <v>300.01499999999999</v>
      </c>
      <c r="P219" s="3"/>
    </row>
    <row r="220" spans="1:16" x14ac:dyDescent="0.3">
      <c r="A220" s="2">
        <v>45453</v>
      </c>
      <c r="B220" s="3" t="s">
        <v>184</v>
      </c>
      <c r="C220" s="3" t="s">
        <v>103</v>
      </c>
      <c r="D220" s="3" t="s">
        <v>437</v>
      </c>
      <c r="E220" s="3" t="s">
        <v>219</v>
      </c>
      <c r="F220" s="3" t="s">
        <v>26</v>
      </c>
      <c r="G220" s="3">
        <v>18</v>
      </c>
      <c r="H220" s="3" t="s">
        <v>27</v>
      </c>
      <c r="I220" s="3">
        <v>1</v>
      </c>
      <c r="J220" s="3">
        <v>904</v>
      </c>
      <c r="K220" s="3"/>
      <c r="L220" s="3"/>
      <c r="M220" s="3">
        <v>15.25</v>
      </c>
      <c r="N220" s="3">
        <f>J220-J220*M220/100</f>
        <v>766.14</v>
      </c>
      <c r="O220" s="4">
        <f>N220+N220*18/100</f>
        <v>904.04520000000002</v>
      </c>
      <c r="P220" s="3"/>
    </row>
    <row r="221" spans="1:16" x14ac:dyDescent="0.3">
      <c r="A221" s="2">
        <v>45454</v>
      </c>
      <c r="B221" s="3" t="s">
        <v>192</v>
      </c>
      <c r="C221" s="3" t="s">
        <v>73</v>
      </c>
      <c r="D221" s="3" t="s">
        <v>438</v>
      </c>
      <c r="E221" s="3" t="s">
        <v>219</v>
      </c>
      <c r="F221" s="3" t="s">
        <v>26</v>
      </c>
      <c r="G221" s="3">
        <v>18</v>
      </c>
      <c r="H221" s="3" t="s">
        <v>27</v>
      </c>
      <c r="I221" s="3">
        <v>1</v>
      </c>
      <c r="J221" s="3">
        <v>3001</v>
      </c>
      <c r="K221" s="3"/>
      <c r="L221" s="3"/>
      <c r="M221" s="3">
        <v>15.25</v>
      </c>
      <c r="N221" s="3">
        <f>J221-J221*M221/100</f>
        <v>2543.3474999999999</v>
      </c>
      <c r="O221" s="4">
        <f>N221+N221*18/100</f>
        <v>3001.1500499999997</v>
      </c>
      <c r="P221" s="3"/>
    </row>
    <row r="222" spans="1:16" x14ac:dyDescent="0.3">
      <c r="A222" s="2">
        <v>45454</v>
      </c>
      <c r="B222" s="3" t="s">
        <v>116</v>
      </c>
      <c r="C222" s="3" t="s">
        <v>46</v>
      </c>
      <c r="D222" s="3" t="s">
        <v>439</v>
      </c>
      <c r="E222" s="3" t="s">
        <v>219</v>
      </c>
      <c r="F222" s="3" t="s">
        <v>26</v>
      </c>
      <c r="G222" s="3">
        <v>18</v>
      </c>
      <c r="H222" s="3" t="s">
        <v>27</v>
      </c>
      <c r="I222" s="3">
        <v>1</v>
      </c>
      <c r="J222" s="3">
        <v>271</v>
      </c>
      <c r="K222" s="3"/>
      <c r="L222" s="3"/>
      <c r="M222" s="3">
        <v>15.25</v>
      </c>
      <c r="N222" s="3">
        <f>J222-J222*M222/100</f>
        <v>229.67250000000001</v>
      </c>
      <c r="O222" s="4">
        <f>N222+N222*18/100</f>
        <v>271.01355000000001</v>
      </c>
      <c r="P222" s="3"/>
    </row>
    <row r="223" spans="1:16" x14ac:dyDescent="0.3">
      <c r="A223" s="2">
        <v>45456</v>
      </c>
      <c r="B223" s="3" t="s">
        <v>141</v>
      </c>
      <c r="C223" s="3" t="s">
        <v>76</v>
      </c>
      <c r="D223" s="3" t="s">
        <v>440</v>
      </c>
      <c r="E223" s="3" t="s">
        <v>219</v>
      </c>
      <c r="F223" s="3" t="s">
        <v>26</v>
      </c>
      <c r="G223" s="3">
        <v>18</v>
      </c>
      <c r="H223" s="3" t="s">
        <v>27</v>
      </c>
      <c r="I223" s="3">
        <v>1</v>
      </c>
      <c r="J223" s="3">
        <v>317</v>
      </c>
      <c r="K223" s="3"/>
      <c r="L223" s="3"/>
      <c r="M223" s="3">
        <v>15.25</v>
      </c>
      <c r="N223" s="3">
        <f>J223-J223*M223/100</f>
        <v>268.65750000000003</v>
      </c>
      <c r="O223" s="4">
        <f>N223+N223*18/100</f>
        <v>317.01585000000006</v>
      </c>
      <c r="P223" s="3"/>
    </row>
    <row r="224" spans="1:16" x14ac:dyDescent="0.3">
      <c r="A224" s="2">
        <v>45456</v>
      </c>
      <c r="B224" s="3" t="s">
        <v>201</v>
      </c>
      <c r="C224" s="3" t="s">
        <v>88</v>
      </c>
      <c r="D224" s="3" t="s">
        <v>441</v>
      </c>
      <c r="E224" s="3" t="s">
        <v>219</v>
      </c>
      <c r="F224" s="3" t="s">
        <v>26</v>
      </c>
      <c r="G224" s="3">
        <v>18</v>
      </c>
      <c r="H224" s="3" t="s">
        <v>27</v>
      </c>
      <c r="I224" s="3">
        <v>1</v>
      </c>
      <c r="J224" s="3">
        <v>294</v>
      </c>
      <c r="K224" s="3"/>
      <c r="L224" s="3"/>
      <c r="M224" s="3">
        <v>15.25</v>
      </c>
      <c r="N224" s="3">
        <f>J224-J224*M224/100</f>
        <v>249.16499999999999</v>
      </c>
      <c r="O224" s="4">
        <f>N224+N224*18/100</f>
        <v>294.0147</v>
      </c>
      <c r="P224" s="3"/>
    </row>
    <row r="225" spans="1:16" x14ac:dyDescent="0.3">
      <c r="A225" s="2">
        <v>45456</v>
      </c>
      <c r="B225" s="3" t="s">
        <v>163</v>
      </c>
      <c r="C225" s="3" t="s">
        <v>55</v>
      </c>
      <c r="D225" s="3" t="s">
        <v>442</v>
      </c>
      <c r="E225" s="3" t="s">
        <v>219</v>
      </c>
      <c r="F225" s="3" t="s">
        <v>60</v>
      </c>
      <c r="G225" s="3">
        <v>18</v>
      </c>
      <c r="H225" s="3" t="s">
        <v>61</v>
      </c>
      <c r="I225" s="3">
        <v>1</v>
      </c>
      <c r="J225" s="3">
        <v>770</v>
      </c>
      <c r="K225" s="3"/>
      <c r="L225" s="3"/>
      <c r="M225" s="3">
        <v>15.25</v>
      </c>
      <c r="N225" s="3">
        <f>J225-J225*M225/100</f>
        <v>652.57500000000005</v>
      </c>
      <c r="O225" s="4">
        <f>N225+N225*18/100</f>
        <v>770.03850000000011</v>
      </c>
      <c r="P225" s="3"/>
    </row>
    <row r="226" spans="1:16" x14ac:dyDescent="0.3">
      <c r="A226" s="2">
        <v>45456</v>
      </c>
      <c r="B226" s="3" t="s">
        <v>187</v>
      </c>
      <c r="C226" s="3" t="s">
        <v>86</v>
      </c>
      <c r="D226" s="3" t="s">
        <v>443</v>
      </c>
      <c r="E226" s="3" t="s">
        <v>219</v>
      </c>
      <c r="F226" s="3" t="s">
        <v>26</v>
      </c>
      <c r="G226" s="3">
        <v>18</v>
      </c>
      <c r="H226" s="3" t="s">
        <v>27</v>
      </c>
      <c r="I226" s="3">
        <v>1</v>
      </c>
      <c r="J226" s="3">
        <v>218</v>
      </c>
      <c r="K226" s="3"/>
      <c r="L226" s="3"/>
      <c r="M226" s="3">
        <v>15.25</v>
      </c>
      <c r="N226" s="3">
        <f>J226-J226*M226/100</f>
        <v>184.755</v>
      </c>
      <c r="O226" s="4">
        <f>N226+N226*18/100</f>
        <v>218.01089999999999</v>
      </c>
      <c r="P226" s="3"/>
    </row>
    <row r="227" spans="1:16" x14ac:dyDescent="0.3">
      <c r="A227" s="2">
        <v>45456</v>
      </c>
      <c r="B227" s="3" t="s">
        <v>160</v>
      </c>
      <c r="C227" s="3" t="s">
        <v>54</v>
      </c>
      <c r="D227" s="3" t="s">
        <v>444</v>
      </c>
      <c r="E227" s="3" t="s">
        <v>219</v>
      </c>
      <c r="F227" s="3" t="s">
        <v>26</v>
      </c>
      <c r="G227" s="3">
        <v>18</v>
      </c>
      <c r="H227" s="3" t="s">
        <v>27</v>
      </c>
      <c r="I227" s="3">
        <v>1</v>
      </c>
      <c r="J227" s="3">
        <v>604</v>
      </c>
      <c r="K227" s="3"/>
      <c r="L227" s="3"/>
      <c r="M227" s="3">
        <v>15.25</v>
      </c>
      <c r="N227" s="3">
        <f>J227-J227*M227/100</f>
        <v>511.89</v>
      </c>
      <c r="O227" s="4">
        <f>N227+N227*18/100</f>
        <v>604.03020000000004</v>
      </c>
      <c r="P227" s="3"/>
    </row>
    <row r="228" spans="1:16" x14ac:dyDescent="0.3">
      <c r="A228" s="2">
        <v>45456</v>
      </c>
      <c r="B228" s="3" t="s">
        <v>175</v>
      </c>
      <c r="C228" s="3" t="s">
        <v>53</v>
      </c>
      <c r="D228" s="3" t="s">
        <v>445</v>
      </c>
      <c r="E228" s="3" t="s">
        <v>219</v>
      </c>
      <c r="F228" s="3" t="s">
        <v>26</v>
      </c>
      <c r="G228" s="3">
        <v>18</v>
      </c>
      <c r="H228" s="3" t="s">
        <v>27</v>
      </c>
      <c r="I228" s="3">
        <v>1</v>
      </c>
      <c r="J228" s="3">
        <v>592</v>
      </c>
      <c r="K228" s="3"/>
      <c r="L228" s="3"/>
      <c r="M228" s="3">
        <v>15.25</v>
      </c>
      <c r="N228" s="3">
        <f>J228-J228*M228/100</f>
        <v>501.72</v>
      </c>
      <c r="O228" s="4">
        <f>N228+N228*18/100</f>
        <v>592.02960000000007</v>
      </c>
      <c r="P228" s="3"/>
    </row>
    <row r="229" spans="1:16" x14ac:dyDescent="0.3">
      <c r="A229" s="2">
        <v>45456</v>
      </c>
      <c r="B229" s="3" t="s">
        <v>198</v>
      </c>
      <c r="C229" s="3" t="s">
        <v>52</v>
      </c>
      <c r="D229" s="3" t="s">
        <v>446</v>
      </c>
      <c r="E229" s="3" t="s">
        <v>219</v>
      </c>
      <c r="F229" s="3" t="s">
        <v>26</v>
      </c>
      <c r="G229" s="3">
        <v>18</v>
      </c>
      <c r="H229" s="3" t="s">
        <v>27</v>
      </c>
      <c r="I229" s="3">
        <v>1</v>
      </c>
      <c r="J229" s="3">
        <v>342</v>
      </c>
      <c r="K229" s="3"/>
      <c r="L229" s="3"/>
      <c r="M229" s="3">
        <v>15.25</v>
      </c>
      <c r="N229" s="3">
        <f>J229-J229*M229/100</f>
        <v>289.84500000000003</v>
      </c>
      <c r="O229" s="4">
        <f>N229+N229*18/100</f>
        <v>342.01710000000003</v>
      </c>
      <c r="P229" s="3"/>
    </row>
    <row r="230" spans="1:16" x14ac:dyDescent="0.3">
      <c r="A230" s="2">
        <v>45458</v>
      </c>
      <c r="B230" s="3" t="s">
        <v>113</v>
      </c>
      <c r="C230" s="3" t="s">
        <v>44</v>
      </c>
      <c r="D230" s="3" t="s">
        <v>447</v>
      </c>
      <c r="E230" s="3" t="s">
        <v>219</v>
      </c>
      <c r="F230" s="3" t="s">
        <v>26</v>
      </c>
      <c r="G230" s="3">
        <v>18</v>
      </c>
      <c r="H230" s="3" t="s">
        <v>27</v>
      </c>
      <c r="I230" s="3">
        <v>1</v>
      </c>
      <c r="J230" s="3">
        <v>1136</v>
      </c>
      <c r="K230" s="3"/>
      <c r="L230" s="3"/>
      <c r="M230" s="3">
        <v>15.25</v>
      </c>
      <c r="N230" s="3">
        <f>J230-J230*M230/100</f>
        <v>962.76</v>
      </c>
      <c r="O230" s="4">
        <f>N230+N230*18/100</f>
        <v>1136.0568000000001</v>
      </c>
      <c r="P230" s="3"/>
    </row>
    <row r="231" spans="1:16" x14ac:dyDescent="0.3">
      <c r="A231" s="2">
        <v>45460</v>
      </c>
      <c r="B231" s="3" t="s">
        <v>131</v>
      </c>
      <c r="C231" s="3" t="s">
        <v>64</v>
      </c>
      <c r="D231" s="3" t="s">
        <v>448</v>
      </c>
      <c r="E231" s="3" t="s">
        <v>219</v>
      </c>
      <c r="F231" s="3" t="s">
        <v>26</v>
      </c>
      <c r="G231" s="3">
        <v>18</v>
      </c>
      <c r="H231" s="3" t="s">
        <v>27</v>
      </c>
      <c r="I231" s="3">
        <v>1</v>
      </c>
      <c r="J231" s="3">
        <v>1330</v>
      </c>
      <c r="K231" s="3"/>
      <c r="L231" s="3"/>
      <c r="M231" s="3">
        <v>15.25</v>
      </c>
      <c r="N231" s="3">
        <f>J231-J231*M231/100</f>
        <v>1127.175</v>
      </c>
      <c r="O231" s="4">
        <f>N231+N231*18/100</f>
        <v>1330.0664999999999</v>
      </c>
      <c r="P231" s="3"/>
    </row>
    <row r="232" spans="1:16" x14ac:dyDescent="0.3">
      <c r="A232" s="2">
        <v>45461</v>
      </c>
      <c r="B232" s="3" t="s">
        <v>142</v>
      </c>
      <c r="C232" s="3" t="s">
        <v>66</v>
      </c>
      <c r="D232" s="3" t="s">
        <v>449</v>
      </c>
      <c r="E232" s="3" t="s">
        <v>219</v>
      </c>
      <c r="F232" s="3" t="s">
        <v>26</v>
      </c>
      <c r="G232" s="3">
        <v>18</v>
      </c>
      <c r="H232" s="3" t="s">
        <v>27</v>
      </c>
      <c r="I232" s="3">
        <v>1</v>
      </c>
      <c r="J232" s="3">
        <v>1594</v>
      </c>
      <c r="K232" s="3"/>
      <c r="L232" s="3"/>
      <c r="M232" s="3">
        <v>15.25</v>
      </c>
      <c r="N232" s="3">
        <f>J232-J232*M232/100</f>
        <v>1350.915</v>
      </c>
      <c r="O232" s="4">
        <f>N232+N232*18/100</f>
        <v>1594.0797</v>
      </c>
      <c r="P232" s="3"/>
    </row>
    <row r="233" spans="1:16" x14ac:dyDescent="0.3">
      <c r="A233" s="2">
        <v>45461</v>
      </c>
      <c r="B233" s="3" t="s">
        <v>148</v>
      </c>
      <c r="C233" s="3" t="s">
        <v>78</v>
      </c>
      <c r="D233" s="3" t="s">
        <v>450</v>
      </c>
      <c r="E233" s="3" t="s">
        <v>219</v>
      </c>
      <c r="F233" s="3" t="s">
        <v>26</v>
      </c>
      <c r="G233" s="3">
        <v>18</v>
      </c>
      <c r="H233" s="3" t="s">
        <v>27</v>
      </c>
      <c r="I233" s="3">
        <v>1</v>
      </c>
      <c r="J233" s="3">
        <v>190</v>
      </c>
      <c r="K233" s="3"/>
      <c r="L233" s="3"/>
      <c r="M233" s="3">
        <v>15.25</v>
      </c>
      <c r="N233" s="3">
        <f>J233-J233*M233/100</f>
        <v>161.02500000000001</v>
      </c>
      <c r="O233" s="4">
        <f>N233+N233*18/100</f>
        <v>190.0095</v>
      </c>
      <c r="P233" s="3"/>
    </row>
    <row r="234" spans="1:16" x14ac:dyDescent="0.3">
      <c r="A234" s="2">
        <v>45461</v>
      </c>
      <c r="B234" s="3" t="s">
        <v>151</v>
      </c>
      <c r="C234" s="3" t="s">
        <v>62</v>
      </c>
      <c r="D234" s="3" t="s">
        <v>451</v>
      </c>
      <c r="E234" s="3" t="s">
        <v>219</v>
      </c>
      <c r="F234" s="3" t="s">
        <v>26</v>
      </c>
      <c r="G234" s="3">
        <v>18</v>
      </c>
      <c r="H234" s="3" t="s">
        <v>27</v>
      </c>
      <c r="I234" s="3">
        <v>1</v>
      </c>
      <c r="J234" s="3">
        <v>1114</v>
      </c>
      <c r="K234" s="3"/>
      <c r="L234" s="3"/>
      <c r="M234" s="3">
        <v>15.25</v>
      </c>
      <c r="N234" s="3">
        <f>J234-J234*M234/100</f>
        <v>944.11500000000001</v>
      </c>
      <c r="O234" s="4">
        <f>N234+N234*18/100</f>
        <v>1114.0556999999999</v>
      </c>
      <c r="P234" s="3"/>
    </row>
    <row r="235" spans="1:16" x14ac:dyDescent="0.3">
      <c r="A235" s="2">
        <v>45462</v>
      </c>
      <c r="B235" s="3" t="s">
        <v>114</v>
      </c>
      <c r="C235" s="3" t="s">
        <v>45</v>
      </c>
      <c r="D235" s="3" t="s">
        <v>452</v>
      </c>
      <c r="E235" s="3" t="s">
        <v>219</v>
      </c>
      <c r="F235" s="3" t="s">
        <v>26</v>
      </c>
      <c r="G235" s="3">
        <v>18</v>
      </c>
      <c r="H235" s="3" t="s">
        <v>27</v>
      </c>
      <c r="I235" s="3">
        <v>1</v>
      </c>
      <c r="J235" s="3">
        <v>1662</v>
      </c>
      <c r="K235" s="3"/>
      <c r="L235" s="3"/>
      <c r="M235" s="3">
        <v>15.25</v>
      </c>
      <c r="N235" s="3">
        <f>J235-J235*M235/100</f>
        <v>1408.5450000000001</v>
      </c>
      <c r="O235" s="4">
        <f>N235+N235*18/100</f>
        <v>1662.0831000000001</v>
      </c>
      <c r="P235" s="3"/>
    </row>
    <row r="236" spans="1:16" x14ac:dyDescent="0.3">
      <c r="A236" s="2">
        <v>45462</v>
      </c>
      <c r="B236" s="3" t="s">
        <v>125</v>
      </c>
      <c r="C236" s="3" t="s">
        <v>90</v>
      </c>
      <c r="D236" s="3" t="s">
        <v>453</v>
      </c>
      <c r="E236" s="3" t="s">
        <v>219</v>
      </c>
      <c r="F236" s="3" t="s">
        <v>26</v>
      </c>
      <c r="G236" s="3">
        <v>18</v>
      </c>
      <c r="H236" s="3" t="s">
        <v>27</v>
      </c>
      <c r="I236" s="3">
        <v>1</v>
      </c>
      <c r="J236" s="3">
        <v>1248</v>
      </c>
      <c r="K236" s="3"/>
      <c r="L236" s="3"/>
      <c r="M236" s="3">
        <v>15.25</v>
      </c>
      <c r="N236" s="3">
        <f>J236-J236*M236/100</f>
        <v>1057.68</v>
      </c>
      <c r="O236" s="4">
        <f>N236+N236*18/100</f>
        <v>1248.0624</v>
      </c>
      <c r="P236" s="3"/>
    </row>
    <row r="237" spans="1:16" x14ac:dyDescent="0.3">
      <c r="A237" s="2">
        <v>45462</v>
      </c>
      <c r="B237" s="3" t="s">
        <v>110</v>
      </c>
      <c r="C237" s="3" t="s">
        <v>50</v>
      </c>
      <c r="D237" s="3" t="s">
        <v>454</v>
      </c>
      <c r="E237" s="3" t="s">
        <v>219</v>
      </c>
      <c r="F237" s="3" t="s">
        <v>26</v>
      </c>
      <c r="G237" s="3">
        <v>18</v>
      </c>
      <c r="H237" s="3" t="s">
        <v>27</v>
      </c>
      <c r="I237" s="3">
        <v>1</v>
      </c>
      <c r="J237" s="3">
        <v>1060</v>
      </c>
      <c r="K237" s="3"/>
      <c r="L237" s="3"/>
      <c r="M237" s="3">
        <v>15.25</v>
      </c>
      <c r="N237" s="3">
        <f>J237-J237*M237/100</f>
        <v>898.35</v>
      </c>
      <c r="O237" s="4">
        <f>N237+N237*18/100</f>
        <v>1060.0530000000001</v>
      </c>
      <c r="P237" s="3"/>
    </row>
    <row r="238" spans="1:16" x14ac:dyDescent="0.3">
      <c r="A238" s="2">
        <v>45463</v>
      </c>
      <c r="B238" s="3" t="s">
        <v>175</v>
      </c>
      <c r="C238" s="3" t="s">
        <v>53</v>
      </c>
      <c r="D238" s="3" t="s">
        <v>455</v>
      </c>
      <c r="E238" s="3" t="s">
        <v>219</v>
      </c>
      <c r="F238" s="3" t="s">
        <v>26</v>
      </c>
      <c r="G238" s="3">
        <v>18</v>
      </c>
      <c r="H238" s="3" t="s">
        <v>27</v>
      </c>
      <c r="I238" s="3">
        <v>1</v>
      </c>
      <c r="J238" s="3">
        <v>985</v>
      </c>
      <c r="K238" s="3"/>
      <c r="L238" s="3"/>
      <c r="M238" s="3">
        <v>15.25</v>
      </c>
      <c r="N238" s="3">
        <f>J238-J238*M238/100</f>
        <v>834.78750000000002</v>
      </c>
      <c r="O238" s="4">
        <f>N238+N238*18/100</f>
        <v>985.04925000000003</v>
      </c>
      <c r="P238" s="3"/>
    </row>
    <row r="239" spans="1:16" x14ac:dyDescent="0.3">
      <c r="A239" s="2">
        <v>45463</v>
      </c>
      <c r="B239" s="3" t="s">
        <v>180</v>
      </c>
      <c r="C239" s="3" t="s">
        <v>104</v>
      </c>
      <c r="D239" s="3" t="s">
        <v>456</v>
      </c>
      <c r="E239" s="3" t="s">
        <v>219</v>
      </c>
      <c r="F239" s="3" t="s">
        <v>26</v>
      </c>
      <c r="G239" s="3">
        <v>18</v>
      </c>
      <c r="H239" s="3" t="s">
        <v>27</v>
      </c>
      <c r="I239" s="3">
        <v>1</v>
      </c>
      <c r="J239" s="3">
        <v>909</v>
      </c>
      <c r="K239" s="3"/>
      <c r="L239" s="3"/>
      <c r="M239" s="3">
        <v>15.25</v>
      </c>
      <c r="N239" s="3">
        <f>J239-J239*M239/100</f>
        <v>770.37750000000005</v>
      </c>
      <c r="O239" s="4">
        <f>N239+N239*18/100</f>
        <v>909.04545000000007</v>
      </c>
      <c r="P239" s="3"/>
    </row>
    <row r="240" spans="1:16" x14ac:dyDescent="0.3">
      <c r="A240" s="2">
        <v>45463</v>
      </c>
      <c r="B240" s="3" t="s">
        <v>198</v>
      </c>
      <c r="C240" s="3" t="s">
        <v>52</v>
      </c>
      <c r="D240" s="3" t="s">
        <v>457</v>
      </c>
      <c r="E240" s="3" t="s">
        <v>219</v>
      </c>
      <c r="F240" s="3" t="s">
        <v>26</v>
      </c>
      <c r="G240" s="3">
        <v>18</v>
      </c>
      <c r="H240" s="3" t="s">
        <v>27</v>
      </c>
      <c r="I240" s="3">
        <v>1</v>
      </c>
      <c r="J240" s="3">
        <v>247</v>
      </c>
      <c r="K240" s="3"/>
      <c r="L240" s="3"/>
      <c r="M240" s="3">
        <v>15.25</v>
      </c>
      <c r="N240" s="3">
        <f>J240-J240*M240/100</f>
        <v>209.33250000000001</v>
      </c>
      <c r="O240" s="4">
        <f>N240+N240*18/100</f>
        <v>247.01235000000003</v>
      </c>
      <c r="P240" s="3"/>
    </row>
    <row r="241" spans="1:16" x14ac:dyDescent="0.3">
      <c r="A241" s="2">
        <v>45465</v>
      </c>
      <c r="B241" s="3" t="s">
        <v>162</v>
      </c>
      <c r="C241" s="3" t="s">
        <v>63</v>
      </c>
      <c r="D241" s="3" t="s">
        <v>458</v>
      </c>
      <c r="E241" s="3" t="s">
        <v>219</v>
      </c>
      <c r="F241" s="3" t="s">
        <v>26</v>
      </c>
      <c r="G241" s="3">
        <v>18</v>
      </c>
      <c r="H241" s="3" t="s">
        <v>27</v>
      </c>
      <c r="I241" s="3">
        <v>1</v>
      </c>
      <c r="J241" s="3">
        <v>2135</v>
      </c>
      <c r="K241" s="3"/>
      <c r="L241" s="3"/>
      <c r="M241" s="3">
        <v>15.25</v>
      </c>
      <c r="N241" s="3">
        <f>J241-J241*M241/100</f>
        <v>1809.4124999999999</v>
      </c>
      <c r="O241" s="4">
        <f>N241+N241*18/100</f>
        <v>2135.1067499999999</v>
      </c>
      <c r="P241" s="3"/>
    </row>
    <row r="242" spans="1:16" x14ac:dyDescent="0.3">
      <c r="A242" s="2">
        <v>45465</v>
      </c>
      <c r="B242" s="3" t="s">
        <v>151</v>
      </c>
      <c r="C242" s="3" t="s">
        <v>62</v>
      </c>
      <c r="D242" s="3" t="s">
        <v>459</v>
      </c>
      <c r="E242" s="3" t="s">
        <v>219</v>
      </c>
      <c r="F242" s="3" t="s">
        <v>26</v>
      </c>
      <c r="G242" s="3">
        <v>18</v>
      </c>
      <c r="H242" s="3" t="s">
        <v>27</v>
      </c>
      <c r="I242" s="3">
        <v>1</v>
      </c>
      <c r="J242" s="3">
        <v>944</v>
      </c>
      <c r="K242" s="3"/>
      <c r="L242" s="3"/>
      <c r="M242" s="3">
        <v>15.25</v>
      </c>
      <c r="N242" s="3">
        <f>J242-J242*M242/100</f>
        <v>800.04</v>
      </c>
      <c r="O242" s="4">
        <f>N242+N242*18/100</f>
        <v>944.04719999999998</v>
      </c>
      <c r="P242" s="3"/>
    </row>
    <row r="243" spans="1:16" x14ac:dyDescent="0.3">
      <c r="A243" s="2">
        <v>45467</v>
      </c>
      <c r="B243" s="3" t="s">
        <v>123</v>
      </c>
      <c r="C243" s="3" t="s">
        <v>70</v>
      </c>
      <c r="D243" s="3" t="s">
        <v>460</v>
      </c>
      <c r="E243" s="3" t="s">
        <v>219</v>
      </c>
      <c r="F243" s="3" t="s">
        <v>60</v>
      </c>
      <c r="G243" s="3">
        <v>18</v>
      </c>
      <c r="H243" s="3" t="s">
        <v>61</v>
      </c>
      <c r="I243" s="3">
        <v>1</v>
      </c>
      <c r="J243" s="3">
        <v>2046</v>
      </c>
      <c r="K243" s="3"/>
      <c r="L243" s="3"/>
      <c r="M243" s="3">
        <v>15.25</v>
      </c>
      <c r="N243" s="3">
        <f>J243-J243*M243/100</f>
        <v>1733.9850000000001</v>
      </c>
      <c r="O243" s="4">
        <f>N243+N243*18/100</f>
        <v>2046.1023000000002</v>
      </c>
      <c r="P243" s="3"/>
    </row>
    <row r="244" spans="1:16" x14ac:dyDescent="0.3">
      <c r="A244" s="2">
        <v>45467</v>
      </c>
      <c r="B244" s="3" t="s">
        <v>113</v>
      </c>
      <c r="C244" s="3" t="s">
        <v>44</v>
      </c>
      <c r="D244" s="3" t="s">
        <v>461</v>
      </c>
      <c r="E244" s="3" t="s">
        <v>219</v>
      </c>
      <c r="F244" s="3" t="s">
        <v>26</v>
      </c>
      <c r="G244" s="3">
        <v>18</v>
      </c>
      <c r="H244" s="3" t="s">
        <v>27</v>
      </c>
      <c r="I244" s="3">
        <v>1</v>
      </c>
      <c r="J244" s="3">
        <v>521</v>
      </c>
      <c r="K244" s="3"/>
      <c r="L244" s="3"/>
      <c r="M244" s="3">
        <v>15.25</v>
      </c>
      <c r="N244" s="3">
        <f>J244-J244*M244/100</f>
        <v>441.54750000000001</v>
      </c>
      <c r="O244" s="4">
        <f>N244+N244*18/100</f>
        <v>521.02605000000005</v>
      </c>
      <c r="P244" s="3"/>
    </row>
    <row r="245" spans="1:16" x14ac:dyDescent="0.3">
      <c r="A245" s="2">
        <v>45467</v>
      </c>
      <c r="B245" s="3" t="s">
        <v>129</v>
      </c>
      <c r="C245" s="3" t="s">
        <v>51</v>
      </c>
      <c r="D245" s="3" t="s">
        <v>462</v>
      </c>
      <c r="E245" s="3" t="s">
        <v>219</v>
      </c>
      <c r="F245" s="3" t="s">
        <v>26</v>
      </c>
      <c r="G245" s="3">
        <v>18</v>
      </c>
      <c r="H245" s="3" t="s">
        <v>27</v>
      </c>
      <c r="I245" s="3">
        <v>1</v>
      </c>
      <c r="J245" s="3">
        <v>487</v>
      </c>
      <c r="K245" s="3"/>
      <c r="L245" s="3"/>
      <c r="M245" s="3">
        <v>15.25</v>
      </c>
      <c r="N245" s="3">
        <f>J245-J245*M245/100</f>
        <v>412.73250000000002</v>
      </c>
      <c r="O245" s="4">
        <f>N245+N245*18/100</f>
        <v>487.02435000000003</v>
      </c>
      <c r="P245" s="3"/>
    </row>
    <row r="246" spans="1:16" x14ac:dyDescent="0.3">
      <c r="A246" s="2">
        <v>45467</v>
      </c>
      <c r="B246" s="3" t="s">
        <v>134</v>
      </c>
      <c r="C246" s="3" t="s">
        <v>68</v>
      </c>
      <c r="D246" s="3" t="s">
        <v>463</v>
      </c>
      <c r="E246" s="3" t="s">
        <v>219</v>
      </c>
      <c r="F246" s="3" t="s">
        <v>26</v>
      </c>
      <c r="G246" s="3">
        <v>18</v>
      </c>
      <c r="H246" s="3" t="s">
        <v>27</v>
      </c>
      <c r="I246" s="3">
        <v>1</v>
      </c>
      <c r="J246" s="3">
        <v>3982</v>
      </c>
      <c r="K246" s="3"/>
      <c r="L246" s="3"/>
      <c r="M246" s="3">
        <v>15.25</v>
      </c>
      <c r="N246" s="3">
        <f>J246-J246*M246/100</f>
        <v>3374.7449999999999</v>
      </c>
      <c r="O246" s="4">
        <f>N246+N246*18/100</f>
        <v>3982.1990999999998</v>
      </c>
      <c r="P246" s="3"/>
    </row>
    <row r="247" spans="1:16" x14ac:dyDescent="0.3">
      <c r="A247" s="2">
        <v>45467</v>
      </c>
      <c r="B247" s="3" t="s">
        <v>170</v>
      </c>
      <c r="C247" s="3" t="s">
        <v>56</v>
      </c>
      <c r="D247" s="3" t="s">
        <v>464</v>
      </c>
      <c r="E247" s="3" t="s">
        <v>219</v>
      </c>
      <c r="F247" s="3" t="s">
        <v>26</v>
      </c>
      <c r="G247" s="3">
        <v>18</v>
      </c>
      <c r="H247" s="3" t="s">
        <v>27</v>
      </c>
      <c r="I247" s="3">
        <v>1</v>
      </c>
      <c r="J247" s="3">
        <v>566</v>
      </c>
      <c r="K247" s="3"/>
      <c r="L247" s="3"/>
      <c r="M247" s="3">
        <v>15.25</v>
      </c>
      <c r="N247" s="3">
        <f>J247-J247*M247/100</f>
        <v>479.685</v>
      </c>
      <c r="O247" s="4">
        <f>N247+N247*18/100</f>
        <v>566.02829999999994</v>
      </c>
      <c r="P247" s="3"/>
    </row>
    <row r="248" spans="1:16" x14ac:dyDescent="0.3">
      <c r="A248" s="2">
        <v>45467</v>
      </c>
      <c r="B248" s="3" t="s">
        <v>197</v>
      </c>
      <c r="C248" s="3" t="s">
        <v>105</v>
      </c>
      <c r="D248" s="3" t="s">
        <v>465</v>
      </c>
      <c r="E248" s="3" t="s">
        <v>219</v>
      </c>
      <c r="F248" s="3" t="s">
        <v>26</v>
      </c>
      <c r="G248" s="3">
        <v>18</v>
      </c>
      <c r="H248" s="3" t="s">
        <v>27</v>
      </c>
      <c r="I248" s="3">
        <v>1</v>
      </c>
      <c r="J248" s="3">
        <v>1340</v>
      </c>
      <c r="K248" s="3"/>
      <c r="L248" s="3"/>
      <c r="M248" s="3">
        <v>15.25</v>
      </c>
      <c r="N248" s="3">
        <f>J248-J248*M248/100</f>
        <v>1135.6500000000001</v>
      </c>
      <c r="O248" s="4">
        <f>N248+N248*18/100</f>
        <v>1340.067</v>
      </c>
      <c r="P248" s="3"/>
    </row>
    <row r="249" spans="1:16" x14ac:dyDescent="0.3">
      <c r="A249" s="2">
        <v>45468</v>
      </c>
      <c r="B249" s="3" t="s">
        <v>139</v>
      </c>
      <c r="C249" s="3" t="s">
        <v>75</v>
      </c>
      <c r="D249" s="3" t="s">
        <v>466</v>
      </c>
      <c r="E249" s="3" t="s">
        <v>219</v>
      </c>
      <c r="F249" s="3" t="s">
        <v>26</v>
      </c>
      <c r="G249" s="3">
        <v>18</v>
      </c>
      <c r="H249" s="3" t="s">
        <v>27</v>
      </c>
      <c r="I249" s="3">
        <v>1</v>
      </c>
      <c r="J249" s="3">
        <v>187</v>
      </c>
      <c r="K249" s="3"/>
      <c r="L249" s="3"/>
      <c r="M249" s="3">
        <v>15.25</v>
      </c>
      <c r="N249" s="3">
        <f>J249-J249*M249/100</f>
        <v>158.48250000000002</v>
      </c>
      <c r="O249" s="4">
        <f>N249+N249*18/100</f>
        <v>187.00935000000001</v>
      </c>
      <c r="P249" s="3"/>
    </row>
    <row r="250" spans="1:16" x14ac:dyDescent="0.3">
      <c r="A250" s="2">
        <v>45469</v>
      </c>
      <c r="B250" s="3" t="s">
        <v>143</v>
      </c>
      <c r="C250" s="3" t="s">
        <v>10</v>
      </c>
      <c r="D250" s="3" t="s">
        <v>467</v>
      </c>
      <c r="E250" s="3" t="s">
        <v>219</v>
      </c>
      <c r="F250" s="3" t="s">
        <v>106</v>
      </c>
      <c r="G250" s="3">
        <v>18</v>
      </c>
      <c r="H250" s="3" t="s">
        <v>107</v>
      </c>
      <c r="I250" s="3">
        <v>1</v>
      </c>
      <c r="J250" s="3">
        <v>461</v>
      </c>
      <c r="K250" s="3"/>
      <c r="L250" s="3"/>
      <c r="M250" s="3">
        <v>15.25</v>
      </c>
      <c r="N250" s="3">
        <f>J250-J250*M250/100</f>
        <v>390.69749999999999</v>
      </c>
      <c r="O250" s="4">
        <f>N250+N250*18/100</f>
        <v>461.02305000000001</v>
      </c>
      <c r="P250" s="3"/>
    </row>
    <row r="251" spans="1:16" x14ac:dyDescent="0.3">
      <c r="A251" s="2">
        <v>45470</v>
      </c>
      <c r="B251" s="3" t="s">
        <v>170</v>
      </c>
      <c r="C251" s="3" t="s">
        <v>56</v>
      </c>
      <c r="D251" s="3" t="s">
        <v>468</v>
      </c>
      <c r="E251" s="3" t="s">
        <v>219</v>
      </c>
      <c r="F251" s="3" t="s">
        <v>26</v>
      </c>
      <c r="G251" s="3">
        <v>18</v>
      </c>
      <c r="H251" s="3" t="s">
        <v>27</v>
      </c>
      <c r="I251" s="3">
        <v>1</v>
      </c>
      <c r="J251" s="3">
        <v>792</v>
      </c>
      <c r="K251" s="3"/>
      <c r="L251" s="3"/>
      <c r="M251" s="3">
        <v>15.25</v>
      </c>
      <c r="N251" s="3">
        <f>J251-J251*M251/100</f>
        <v>671.22</v>
      </c>
      <c r="O251" s="4">
        <f>N251+N251*18/100</f>
        <v>792.03960000000006</v>
      </c>
      <c r="P251" s="3"/>
    </row>
    <row r="252" spans="1:16" x14ac:dyDescent="0.3">
      <c r="A252" s="2">
        <v>45470</v>
      </c>
      <c r="B252" s="3" t="s">
        <v>163</v>
      </c>
      <c r="C252" s="3" t="s">
        <v>55</v>
      </c>
      <c r="D252" s="3" t="s">
        <v>469</v>
      </c>
      <c r="E252" s="3" t="s">
        <v>219</v>
      </c>
      <c r="F252" s="3" t="s">
        <v>26</v>
      </c>
      <c r="G252" s="3">
        <v>18</v>
      </c>
      <c r="H252" s="3" t="s">
        <v>27</v>
      </c>
      <c r="I252" s="3">
        <v>1</v>
      </c>
      <c r="J252" s="3">
        <v>723</v>
      </c>
      <c r="K252" s="3"/>
      <c r="L252" s="3"/>
      <c r="M252" s="3">
        <v>15.25</v>
      </c>
      <c r="N252" s="3">
        <f>J252-J252*M252/100</f>
        <v>612.74250000000006</v>
      </c>
      <c r="O252" s="4">
        <f>N252+N252*18/100</f>
        <v>723.03615000000013</v>
      </c>
      <c r="P252" s="3"/>
    </row>
    <row r="253" spans="1:16" x14ac:dyDescent="0.3">
      <c r="A253" s="2">
        <v>45470</v>
      </c>
      <c r="B253" s="3" t="s">
        <v>160</v>
      </c>
      <c r="C253" s="3" t="s">
        <v>54</v>
      </c>
      <c r="D253" s="3" t="s">
        <v>470</v>
      </c>
      <c r="E253" s="3" t="s">
        <v>219</v>
      </c>
      <c r="F253" s="3" t="s">
        <v>26</v>
      </c>
      <c r="G253" s="3">
        <v>18</v>
      </c>
      <c r="H253" s="3" t="s">
        <v>27</v>
      </c>
      <c r="I253" s="3">
        <v>1</v>
      </c>
      <c r="J253" s="3">
        <v>845</v>
      </c>
      <c r="K253" s="3"/>
      <c r="L253" s="3"/>
      <c r="M253" s="3">
        <v>15.25</v>
      </c>
      <c r="N253" s="3">
        <f>J253-J253*M253/100</f>
        <v>716.13750000000005</v>
      </c>
      <c r="O253" s="4">
        <f>N253+N253*18/100</f>
        <v>845.04225000000008</v>
      </c>
      <c r="P253" s="3"/>
    </row>
    <row r="254" spans="1:16" x14ac:dyDescent="0.3">
      <c r="A254" s="2">
        <v>45470</v>
      </c>
      <c r="B254" s="3" t="s">
        <v>123</v>
      </c>
      <c r="C254" s="3" t="s">
        <v>70</v>
      </c>
      <c r="D254" s="3" t="s">
        <v>471</v>
      </c>
      <c r="E254" s="3" t="s">
        <v>219</v>
      </c>
      <c r="F254" s="3" t="s">
        <v>26</v>
      </c>
      <c r="G254" s="3">
        <v>18</v>
      </c>
      <c r="H254" s="3" t="s">
        <v>27</v>
      </c>
      <c r="I254" s="3">
        <v>1</v>
      </c>
      <c r="J254" s="3">
        <v>1475</v>
      </c>
      <c r="K254" s="3"/>
      <c r="L254" s="3"/>
      <c r="M254" s="3">
        <v>15.25</v>
      </c>
      <c r="N254" s="3">
        <f>J254-J254*M254/100</f>
        <v>1250.0625</v>
      </c>
      <c r="O254" s="4">
        <f>N254+N254*18/100</f>
        <v>1475.07375</v>
      </c>
      <c r="P254" s="3"/>
    </row>
    <row r="255" spans="1:16" x14ac:dyDescent="0.3">
      <c r="A255" s="2">
        <v>45470</v>
      </c>
      <c r="B255" s="3" t="s">
        <v>175</v>
      </c>
      <c r="C255" s="3" t="s">
        <v>53</v>
      </c>
      <c r="D255" s="3" t="s">
        <v>472</v>
      </c>
      <c r="E255" s="3" t="s">
        <v>219</v>
      </c>
      <c r="F255" s="3" t="s">
        <v>26</v>
      </c>
      <c r="G255" s="3">
        <v>18</v>
      </c>
      <c r="H255" s="3" t="s">
        <v>27</v>
      </c>
      <c r="I255" s="3">
        <v>1</v>
      </c>
      <c r="J255" s="3">
        <v>941</v>
      </c>
      <c r="K255" s="3"/>
      <c r="L255" s="3"/>
      <c r="M255" s="3">
        <v>15.25</v>
      </c>
      <c r="N255" s="3">
        <f>J255-J255*M255/100</f>
        <v>797.49749999999995</v>
      </c>
      <c r="O255" s="4">
        <f>N255+N255*18/100</f>
        <v>941.0470499999999</v>
      </c>
      <c r="P255" s="3"/>
    </row>
    <row r="256" spans="1:16" x14ac:dyDescent="0.3">
      <c r="A256" s="2">
        <v>45471</v>
      </c>
      <c r="B256" s="3" t="s">
        <v>142</v>
      </c>
      <c r="C256" s="3" t="s">
        <v>66</v>
      </c>
      <c r="D256" s="3" t="s">
        <v>473</v>
      </c>
      <c r="E256" s="3" t="s">
        <v>219</v>
      </c>
      <c r="F256" s="3" t="s">
        <v>26</v>
      </c>
      <c r="G256" s="3">
        <v>18</v>
      </c>
      <c r="H256" s="3" t="s">
        <v>27</v>
      </c>
      <c r="I256" s="3">
        <v>1</v>
      </c>
      <c r="J256" s="3">
        <v>730</v>
      </c>
      <c r="K256" s="3"/>
      <c r="L256" s="3"/>
      <c r="M256" s="3">
        <v>15.25</v>
      </c>
      <c r="N256" s="3">
        <f>J256-J256*M256/100</f>
        <v>618.67499999999995</v>
      </c>
      <c r="O256" s="4">
        <f>N256+N256*18/100</f>
        <v>730.03649999999993</v>
      </c>
      <c r="P256" s="3"/>
    </row>
    <row r="257" spans="1:16" x14ac:dyDescent="0.3">
      <c r="A257" s="2">
        <v>45471</v>
      </c>
      <c r="B257" s="3" t="s">
        <v>116</v>
      </c>
      <c r="C257" s="3" t="s">
        <v>46</v>
      </c>
      <c r="D257" s="3" t="s">
        <v>474</v>
      </c>
      <c r="E257" s="3" t="s">
        <v>219</v>
      </c>
      <c r="F257" s="3" t="s">
        <v>26</v>
      </c>
      <c r="G257" s="3">
        <v>18</v>
      </c>
      <c r="H257" s="3" t="s">
        <v>27</v>
      </c>
      <c r="I257" s="3">
        <v>1</v>
      </c>
      <c r="J257" s="3">
        <v>625</v>
      </c>
      <c r="K257" s="3"/>
      <c r="L257" s="3"/>
      <c r="M257" s="3">
        <v>15.25</v>
      </c>
      <c r="N257" s="3">
        <f>J257-J257*M257/100</f>
        <v>529.6875</v>
      </c>
      <c r="O257" s="4">
        <f>N257+N257*18/100</f>
        <v>625.03125</v>
      </c>
      <c r="P257" s="3"/>
    </row>
    <row r="258" spans="1:16" x14ac:dyDescent="0.3">
      <c r="A258" s="2">
        <v>45471</v>
      </c>
      <c r="B258" s="3" t="s">
        <v>122</v>
      </c>
      <c r="C258" s="3" t="s">
        <v>101</v>
      </c>
      <c r="D258" s="3" t="s">
        <v>475</v>
      </c>
      <c r="E258" s="3" t="s">
        <v>219</v>
      </c>
      <c r="F258" s="3" t="s">
        <v>26</v>
      </c>
      <c r="G258" s="3">
        <v>18</v>
      </c>
      <c r="H258" s="3" t="s">
        <v>27</v>
      </c>
      <c r="I258" s="3">
        <v>1</v>
      </c>
      <c r="J258" s="3">
        <v>2317</v>
      </c>
      <c r="K258" s="3"/>
      <c r="L258" s="3"/>
      <c r="M258" s="3">
        <v>15.25</v>
      </c>
      <c r="N258" s="3">
        <f>J258-J258*M258/100</f>
        <v>1963.6575</v>
      </c>
      <c r="O258" s="4">
        <f>N258+N258*18/100</f>
        <v>2317.1158500000001</v>
      </c>
      <c r="P258" s="3"/>
    </row>
    <row r="259" spans="1:16" x14ac:dyDescent="0.3">
      <c r="A259" s="2">
        <v>45471</v>
      </c>
      <c r="B259" s="3" t="s">
        <v>184</v>
      </c>
      <c r="C259" s="3" t="s">
        <v>103</v>
      </c>
      <c r="D259" s="3" t="s">
        <v>476</v>
      </c>
      <c r="E259" s="3" t="s">
        <v>219</v>
      </c>
      <c r="F259" s="3" t="s">
        <v>26</v>
      </c>
      <c r="G259" s="3">
        <v>18</v>
      </c>
      <c r="H259" s="3" t="s">
        <v>27</v>
      </c>
      <c r="I259" s="3">
        <v>1</v>
      </c>
      <c r="J259" s="3">
        <v>1037</v>
      </c>
      <c r="K259" s="3"/>
      <c r="L259" s="3"/>
      <c r="M259" s="3">
        <v>15.25</v>
      </c>
      <c r="N259" s="3">
        <f>J259-J259*M259/100</f>
        <v>878.85749999999996</v>
      </c>
      <c r="O259" s="4">
        <f>N259+N259*18/100</f>
        <v>1037.0518499999998</v>
      </c>
      <c r="P259" s="3"/>
    </row>
    <row r="260" spans="1:16" x14ac:dyDescent="0.3">
      <c r="A260" s="2">
        <v>45472</v>
      </c>
      <c r="B260" s="3" t="s">
        <v>113</v>
      </c>
      <c r="C260" s="3" t="s">
        <v>44</v>
      </c>
      <c r="D260" s="3" t="s">
        <v>477</v>
      </c>
      <c r="E260" s="3" t="s">
        <v>219</v>
      </c>
      <c r="F260" s="3" t="s">
        <v>26</v>
      </c>
      <c r="G260" s="3">
        <v>18</v>
      </c>
      <c r="H260" s="3" t="s">
        <v>27</v>
      </c>
      <c r="I260" s="3">
        <v>1</v>
      </c>
      <c r="J260" s="3">
        <v>2882</v>
      </c>
      <c r="K260" s="3"/>
      <c r="L260" s="3"/>
      <c r="M260" s="3">
        <v>15.25</v>
      </c>
      <c r="N260" s="3">
        <f>J260-J260*M260/100</f>
        <v>2442.4949999999999</v>
      </c>
      <c r="O260" s="4">
        <f>N260+N260*18/100</f>
        <v>2882.1441</v>
      </c>
      <c r="P260" s="3"/>
    </row>
    <row r="261" spans="1:16" x14ac:dyDescent="0.3">
      <c r="A261" s="2">
        <v>45474</v>
      </c>
      <c r="B261" s="3" t="s">
        <v>151</v>
      </c>
      <c r="C261" s="3" t="s">
        <v>62</v>
      </c>
      <c r="D261" s="3" t="s">
        <v>478</v>
      </c>
      <c r="E261" s="3" t="s">
        <v>219</v>
      </c>
      <c r="F261" s="3" t="s">
        <v>26</v>
      </c>
      <c r="G261" s="3">
        <v>18</v>
      </c>
      <c r="H261" s="3" t="s">
        <v>27</v>
      </c>
      <c r="I261" s="3">
        <v>1</v>
      </c>
      <c r="J261" s="3">
        <v>592</v>
      </c>
      <c r="K261" s="3"/>
      <c r="L261" s="3"/>
      <c r="M261" s="3">
        <v>15.25</v>
      </c>
      <c r="N261" s="3">
        <f>J261-J261*M261/100</f>
        <v>501.72</v>
      </c>
      <c r="O261" s="4">
        <f>N261+N261*18/100</f>
        <v>592.02960000000007</v>
      </c>
      <c r="P261" s="3"/>
    </row>
    <row r="262" spans="1:16" x14ac:dyDescent="0.3">
      <c r="A262" s="2">
        <v>45475</v>
      </c>
      <c r="B262" s="3" t="s">
        <v>148</v>
      </c>
      <c r="C262" s="3" t="s">
        <v>78</v>
      </c>
      <c r="D262" s="3" t="s">
        <v>479</v>
      </c>
      <c r="E262" s="3" t="s">
        <v>219</v>
      </c>
      <c r="F262" s="3" t="s">
        <v>26</v>
      </c>
      <c r="G262" s="3">
        <v>18</v>
      </c>
      <c r="H262" s="3" t="s">
        <v>27</v>
      </c>
      <c r="I262" s="3">
        <v>1</v>
      </c>
      <c r="J262" s="3">
        <v>248</v>
      </c>
      <c r="K262" s="3"/>
      <c r="L262" s="3"/>
      <c r="M262" s="3">
        <v>15.25</v>
      </c>
      <c r="N262" s="3">
        <f>J262-J262*M262/100</f>
        <v>210.18</v>
      </c>
      <c r="O262" s="4">
        <f>N262+N262*18/100</f>
        <v>248.01240000000001</v>
      </c>
      <c r="P262" s="3"/>
    </row>
    <row r="263" spans="1:16" x14ac:dyDescent="0.3">
      <c r="A263" s="2">
        <v>45475</v>
      </c>
      <c r="B263" s="3" t="s">
        <v>176</v>
      </c>
      <c r="C263" s="3" t="s">
        <v>72</v>
      </c>
      <c r="D263" s="3" t="s">
        <v>480</v>
      </c>
      <c r="E263" s="3" t="s">
        <v>219</v>
      </c>
      <c r="F263" s="3" t="s">
        <v>26</v>
      </c>
      <c r="G263" s="3">
        <v>18</v>
      </c>
      <c r="H263" s="3" t="s">
        <v>27</v>
      </c>
      <c r="I263" s="3">
        <v>1</v>
      </c>
      <c r="J263" s="3">
        <v>238</v>
      </c>
      <c r="K263" s="3"/>
      <c r="L263" s="3"/>
      <c r="M263" s="3">
        <v>15.25</v>
      </c>
      <c r="N263" s="3">
        <f>J263-J263*M263/100</f>
        <v>201.70499999999998</v>
      </c>
      <c r="O263" s="4">
        <f>N263+N263*18/100</f>
        <v>238.01189999999997</v>
      </c>
      <c r="P263" s="3"/>
    </row>
    <row r="264" spans="1:16" x14ac:dyDescent="0.3">
      <c r="A264" s="2">
        <v>45475</v>
      </c>
      <c r="B264" s="3" t="s">
        <v>183</v>
      </c>
      <c r="C264" s="3" t="s">
        <v>29</v>
      </c>
      <c r="D264" s="3" t="s">
        <v>481</v>
      </c>
      <c r="E264" s="3" t="s">
        <v>219</v>
      </c>
      <c r="F264" s="3" t="s">
        <v>26</v>
      </c>
      <c r="G264" s="3">
        <v>18</v>
      </c>
      <c r="H264" s="3" t="s">
        <v>27</v>
      </c>
      <c r="I264" s="3">
        <v>1</v>
      </c>
      <c r="J264" s="3">
        <v>169</v>
      </c>
      <c r="K264" s="3"/>
      <c r="L264" s="3"/>
      <c r="M264" s="3">
        <v>15.25</v>
      </c>
      <c r="N264" s="3">
        <f>J264-J264*M264/100</f>
        <v>143.22749999999999</v>
      </c>
      <c r="O264" s="4">
        <f>N264+N264*18/100</f>
        <v>169.00844999999998</v>
      </c>
      <c r="P264" s="3"/>
    </row>
    <row r="265" spans="1:16" x14ac:dyDescent="0.3">
      <c r="A265" s="2">
        <v>45477</v>
      </c>
      <c r="B265" s="3" t="s">
        <v>170</v>
      </c>
      <c r="C265" s="3" t="s">
        <v>56</v>
      </c>
      <c r="D265" s="3" t="s">
        <v>482</v>
      </c>
      <c r="E265" s="3" t="s">
        <v>219</v>
      </c>
      <c r="F265" s="3" t="s">
        <v>26</v>
      </c>
      <c r="G265" s="3">
        <v>18</v>
      </c>
      <c r="H265" s="3" t="s">
        <v>27</v>
      </c>
      <c r="I265" s="3">
        <v>1</v>
      </c>
      <c r="J265" s="3">
        <v>137</v>
      </c>
      <c r="K265" s="3"/>
      <c r="L265" s="3"/>
      <c r="M265" s="3">
        <v>15.25</v>
      </c>
      <c r="N265" s="3">
        <f>J265-J265*M265/100</f>
        <v>116.1075</v>
      </c>
      <c r="O265" s="4">
        <f>N265+N265*18/100</f>
        <v>137.00684999999999</v>
      </c>
      <c r="P265" s="3"/>
    </row>
    <row r="266" spans="1:16" x14ac:dyDescent="0.3">
      <c r="A266" s="2">
        <v>45478</v>
      </c>
      <c r="B266" s="3" t="s">
        <v>138</v>
      </c>
      <c r="C266" s="3" t="s">
        <v>69</v>
      </c>
      <c r="D266" s="3" t="s">
        <v>483</v>
      </c>
      <c r="E266" s="3" t="s">
        <v>219</v>
      </c>
      <c r="F266" s="3" t="s">
        <v>26</v>
      </c>
      <c r="G266" s="3">
        <v>18</v>
      </c>
      <c r="H266" s="3" t="s">
        <v>27</v>
      </c>
      <c r="I266" s="3">
        <v>1</v>
      </c>
      <c r="J266" s="3">
        <v>486</v>
      </c>
      <c r="K266" s="3"/>
      <c r="L266" s="3"/>
      <c r="M266" s="3">
        <v>15.25</v>
      </c>
      <c r="N266" s="3">
        <f>J266-J266*M266/100</f>
        <v>411.88499999999999</v>
      </c>
      <c r="O266" s="4">
        <f>N266+N266*18/100</f>
        <v>486.02429999999998</v>
      </c>
      <c r="P266" s="3"/>
    </row>
    <row r="267" spans="1:16" x14ac:dyDescent="0.3">
      <c r="A267" s="2">
        <v>45478</v>
      </c>
      <c r="B267" s="3" t="s">
        <v>201</v>
      </c>
      <c r="C267" s="3" t="s">
        <v>88</v>
      </c>
      <c r="D267" s="3" t="s">
        <v>484</v>
      </c>
      <c r="E267" s="3" t="s">
        <v>219</v>
      </c>
      <c r="F267" s="3" t="s">
        <v>26</v>
      </c>
      <c r="G267" s="3">
        <v>18</v>
      </c>
      <c r="H267" s="3" t="s">
        <v>27</v>
      </c>
      <c r="I267" s="3">
        <v>1</v>
      </c>
      <c r="J267" s="3">
        <v>509</v>
      </c>
      <c r="K267" s="3"/>
      <c r="L267" s="3"/>
      <c r="M267" s="3">
        <v>15.25</v>
      </c>
      <c r="N267" s="3">
        <f>J267-J267*M267/100</f>
        <v>431.3775</v>
      </c>
      <c r="O267" s="4">
        <f>N267+N267*18/100</f>
        <v>509.02544999999998</v>
      </c>
      <c r="P267" s="3"/>
    </row>
    <row r="268" spans="1:16" x14ac:dyDescent="0.3">
      <c r="A268" s="2">
        <v>45478</v>
      </c>
      <c r="B268" s="3" t="s">
        <v>157</v>
      </c>
      <c r="C268" s="3" t="s">
        <v>24</v>
      </c>
      <c r="D268" s="3" t="s">
        <v>485</v>
      </c>
      <c r="E268" s="3" t="s">
        <v>219</v>
      </c>
      <c r="F268" s="3" t="s">
        <v>26</v>
      </c>
      <c r="G268" s="3">
        <v>18</v>
      </c>
      <c r="H268" s="3" t="s">
        <v>27</v>
      </c>
      <c r="I268" s="3">
        <v>1</v>
      </c>
      <c r="J268" s="3">
        <v>2180</v>
      </c>
      <c r="K268" s="3"/>
      <c r="L268" s="3"/>
      <c r="M268" s="3">
        <v>15.25</v>
      </c>
      <c r="N268" s="3">
        <f>J268-J268*M268/100</f>
        <v>1847.55</v>
      </c>
      <c r="O268" s="4">
        <f>N268+N268*18/100</f>
        <v>2180.1089999999999</v>
      </c>
      <c r="P268" s="3"/>
    </row>
    <row r="269" spans="1:16" x14ac:dyDescent="0.3">
      <c r="A269" s="2">
        <v>45478</v>
      </c>
      <c r="B269" s="3" t="s">
        <v>163</v>
      </c>
      <c r="C269" s="3" t="s">
        <v>55</v>
      </c>
      <c r="D269" s="3" t="s">
        <v>486</v>
      </c>
      <c r="E269" s="3" t="s">
        <v>219</v>
      </c>
      <c r="F269" s="3" t="s">
        <v>26</v>
      </c>
      <c r="G269" s="3">
        <v>18</v>
      </c>
      <c r="H269" s="3" t="s">
        <v>27</v>
      </c>
      <c r="I269" s="3">
        <v>1</v>
      </c>
      <c r="J269" s="3">
        <v>1383</v>
      </c>
      <c r="K269" s="3"/>
      <c r="L269" s="3"/>
      <c r="M269" s="3">
        <v>15.25</v>
      </c>
      <c r="N269" s="3">
        <f>J269-J269*M269/100</f>
        <v>1172.0925</v>
      </c>
      <c r="O269" s="4">
        <f>N269+N269*18/100</f>
        <v>1383.06915</v>
      </c>
      <c r="P269" s="3"/>
    </row>
    <row r="270" spans="1:16" x14ac:dyDescent="0.3">
      <c r="A270" s="2">
        <v>45479</v>
      </c>
      <c r="B270" s="3" t="s">
        <v>196</v>
      </c>
      <c r="C270" s="3" t="s">
        <v>82</v>
      </c>
      <c r="D270" s="3" t="s">
        <v>487</v>
      </c>
      <c r="E270" s="3" t="s">
        <v>219</v>
      </c>
      <c r="F270" s="3" t="s">
        <v>26</v>
      </c>
      <c r="G270" s="3">
        <v>18</v>
      </c>
      <c r="H270" s="3" t="s">
        <v>27</v>
      </c>
      <c r="I270" s="3">
        <v>1</v>
      </c>
      <c r="J270" s="3">
        <v>698</v>
      </c>
      <c r="K270" s="3"/>
      <c r="L270" s="3"/>
      <c r="M270" s="3">
        <v>15.25</v>
      </c>
      <c r="N270" s="3">
        <f>J270-J270*M270/100</f>
        <v>591.55500000000006</v>
      </c>
      <c r="O270" s="4">
        <f>N270+N270*18/100</f>
        <v>698.03490000000011</v>
      </c>
      <c r="P270" s="3"/>
    </row>
    <row r="271" spans="1:16" x14ac:dyDescent="0.3">
      <c r="A271" s="2">
        <v>45479</v>
      </c>
      <c r="B271" s="3" t="s">
        <v>151</v>
      </c>
      <c r="C271" s="3" t="s">
        <v>62</v>
      </c>
      <c r="D271" s="3" t="s">
        <v>488</v>
      </c>
      <c r="E271" s="3" t="s">
        <v>219</v>
      </c>
      <c r="F271" s="3" t="s">
        <v>26</v>
      </c>
      <c r="G271" s="3">
        <v>18</v>
      </c>
      <c r="H271" s="3" t="s">
        <v>27</v>
      </c>
      <c r="I271" s="3">
        <v>1</v>
      </c>
      <c r="J271" s="3">
        <v>183</v>
      </c>
      <c r="K271" s="3"/>
      <c r="L271" s="3"/>
      <c r="M271" s="3">
        <v>15.25</v>
      </c>
      <c r="N271" s="3">
        <f>J271-J271*M271/100</f>
        <v>155.0925</v>
      </c>
      <c r="O271" s="4">
        <f>N271+N271*18/100</f>
        <v>183.00915000000001</v>
      </c>
      <c r="P271" s="3"/>
    </row>
    <row r="272" spans="1:16" x14ac:dyDescent="0.3">
      <c r="A272" s="2">
        <v>45479</v>
      </c>
      <c r="B272" s="3" t="s">
        <v>119</v>
      </c>
      <c r="C272" s="3" t="s">
        <v>96</v>
      </c>
      <c r="D272" s="3" t="s">
        <v>489</v>
      </c>
      <c r="E272" s="3" t="s">
        <v>219</v>
      </c>
      <c r="F272" s="3" t="s">
        <v>26</v>
      </c>
      <c r="G272" s="3">
        <v>18</v>
      </c>
      <c r="H272" s="3" t="s">
        <v>27</v>
      </c>
      <c r="I272" s="3">
        <v>1</v>
      </c>
      <c r="J272" s="3">
        <v>746</v>
      </c>
      <c r="K272" s="3"/>
      <c r="L272" s="3"/>
      <c r="M272" s="3">
        <v>15.25</v>
      </c>
      <c r="N272" s="3">
        <f>J272-J272*M272/100</f>
        <v>632.23500000000001</v>
      </c>
      <c r="O272" s="4">
        <f>N272+N272*18/100</f>
        <v>746.03729999999996</v>
      </c>
      <c r="P272" s="3"/>
    </row>
    <row r="273" spans="1:16" x14ac:dyDescent="0.3">
      <c r="A273" s="2">
        <v>45479</v>
      </c>
      <c r="B273" s="3" t="s">
        <v>177</v>
      </c>
      <c r="C273" s="3" t="s">
        <v>81</v>
      </c>
      <c r="D273" s="3" t="s">
        <v>490</v>
      </c>
      <c r="E273" s="3" t="s">
        <v>219</v>
      </c>
      <c r="F273" s="3" t="s">
        <v>26</v>
      </c>
      <c r="G273" s="3">
        <v>18</v>
      </c>
      <c r="H273" s="3" t="s">
        <v>27</v>
      </c>
      <c r="I273" s="3">
        <v>1</v>
      </c>
      <c r="J273" s="3">
        <v>950</v>
      </c>
      <c r="K273" s="3"/>
      <c r="L273" s="3"/>
      <c r="M273" s="3">
        <v>15.25</v>
      </c>
      <c r="N273" s="3">
        <f>J273-J273*M273/100</f>
        <v>805.125</v>
      </c>
      <c r="O273" s="4">
        <f>N273+N273*18/100</f>
        <v>950.04750000000001</v>
      </c>
      <c r="P273" s="3"/>
    </row>
    <row r="274" spans="1:16" x14ac:dyDescent="0.3">
      <c r="A274" s="2">
        <v>45482</v>
      </c>
      <c r="B274" s="3" t="s">
        <v>142</v>
      </c>
      <c r="C274" s="3" t="s">
        <v>66</v>
      </c>
      <c r="D274" s="3" t="s">
        <v>491</v>
      </c>
      <c r="E274" s="3" t="s">
        <v>219</v>
      </c>
      <c r="F274" s="3" t="s">
        <v>26</v>
      </c>
      <c r="G274" s="3">
        <v>18</v>
      </c>
      <c r="H274" s="3" t="s">
        <v>27</v>
      </c>
      <c r="I274" s="3">
        <v>1</v>
      </c>
      <c r="J274" s="3">
        <v>1181</v>
      </c>
      <c r="K274" s="3"/>
      <c r="L274" s="3"/>
      <c r="M274" s="3">
        <v>15.25</v>
      </c>
      <c r="N274" s="3">
        <f>J274-J274*M274/100</f>
        <v>1000.8975</v>
      </c>
      <c r="O274" s="4">
        <f>N274+N274*18/100</f>
        <v>1181.0590500000001</v>
      </c>
      <c r="P274" s="3"/>
    </row>
    <row r="275" spans="1:16" x14ac:dyDescent="0.3">
      <c r="A275" s="2">
        <v>45482</v>
      </c>
      <c r="B275" s="3" t="s">
        <v>164</v>
      </c>
      <c r="C275" s="3" t="s">
        <v>59</v>
      </c>
      <c r="D275" s="3" t="s">
        <v>492</v>
      </c>
      <c r="E275" s="3" t="s">
        <v>219</v>
      </c>
      <c r="F275" s="3" t="s">
        <v>26</v>
      </c>
      <c r="G275" s="3">
        <v>18</v>
      </c>
      <c r="H275" s="3" t="s">
        <v>27</v>
      </c>
      <c r="I275" s="3">
        <v>1</v>
      </c>
      <c r="J275" s="3">
        <v>337</v>
      </c>
      <c r="K275" s="3"/>
      <c r="L275" s="3"/>
      <c r="M275" s="3">
        <v>15.25</v>
      </c>
      <c r="N275" s="3">
        <f>J275-J275*M275/100</f>
        <v>285.60750000000002</v>
      </c>
      <c r="O275" s="4">
        <f>N275+N275*18/100</f>
        <v>337.01685000000003</v>
      </c>
      <c r="P275" s="3"/>
    </row>
    <row r="276" spans="1:16" x14ac:dyDescent="0.3">
      <c r="A276" s="2">
        <v>45483</v>
      </c>
      <c r="B276" s="3" t="s">
        <v>143</v>
      </c>
      <c r="C276" s="3" t="s">
        <v>10</v>
      </c>
      <c r="D276" s="3" t="s">
        <v>493</v>
      </c>
      <c r="E276" s="3" t="s">
        <v>219</v>
      </c>
      <c r="F276" s="3" t="s">
        <v>106</v>
      </c>
      <c r="G276" s="3">
        <v>18</v>
      </c>
      <c r="H276" s="3" t="s">
        <v>107</v>
      </c>
      <c r="I276" s="3">
        <v>1</v>
      </c>
      <c r="J276" s="3">
        <v>460</v>
      </c>
      <c r="K276" s="3"/>
      <c r="L276" s="3"/>
      <c r="M276" s="3">
        <v>15.25</v>
      </c>
      <c r="N276" s="3">
        <f>J276-J276*M276/100</f>
        <v>389.85</v>
      </c>
      <c r="O276" s="4">
        <f>N276+N276*18/100</f>
        <v>460.02300000000002</v>
      </c>
      <c r="P276" s="3"/>
    </row>
    <row r="277" spans="1:16" x14ac:dyDescent="0.3">
      <c r="A277" s="2">
        <v>45483</v>
      </c>
      <c r="B277" s="3" t="s">
        <v>115</v>
      </c>
      <c r="C277" s="3" t="s">
        <v>94</v>
      </c>
      <c r="D277" s="3" t="s">
        <v>494</v>
      </c>
      <c r="E277" s="3" t="s">
        <v>219</v>
      </c>
      <c r="F277" s="3" t="s">
        <v>108</v>
      </c>
      <c r="G277" s="3">
        <v>18</v>
      </c>
      <c r="H277" s="3" t="s">
        <v>109</v>
      </c>
      <c r="I277" s="3">
        <v>1</v>
      </c>
      <c r="J277" s="3">
        <v>586.5</v>
      </c>
      <c r="K277" s="3"/>
      <c r="L277" s="3"/>
      <c r="M277" s="3">
        <v>15.25</v>
      </c>
      <c r="N277" s="3">
        <f>J277-J277*M277/100</f>
        <v>497.05875000000003</v>
      </c>
      <c r="O277" s="4">
        <f>N277+N277*18/100</f>
        <v>586.52932500000009</v>
      </c>
      <c r="P277" s="3"/>
    </row>
    <row r="278" spans="1:16" x14ac:dyDescent="0.3">
      <c r="A278" s="2">
        <v>45485</v>
      </c>
      <c r="B278" s="3" t="s">
        <v>162</v>
      </c>
      <c r="C278" s="3" t="s">
        <v>63</v>
      </c>
      <c r="D278" s="3" t="s">
        <v>495</v>
      </c>
      <c r="E278" s="3" t="s">
        <v>219</v>
      </c>
      <c r="F278" s="3" t="s">
        <v>26</v>
      </c>
      <c r="G278" s="3">
        <v>18</v>
      </c>
      <c r="H278" s="3" t="s">
        <v>27</v>
      </c>
      <c r="I278" s="3">
        <v>1</v>
      </c>
      <c r="J278" s="3">
        <v>1816</v>
      </c>
      <c r="K278" s="3"/>
      <c r="L278" s="3"/>
      <c r="M278" s="3">
        <v>15.25</v>
      </c>
      <c r="N278" s="3">
        <f>J278-J278*M278/100</f>
        <v>1539.06</v>
      </c>
      <c r="O278" s="4">
        <f>N278+N278*18/100</f>
        <v>1816.0907999999999</v>
      </c>
      <c r="P278" s="3"/>
    </row>
    <row r="279" spans="1:16" x14ac:dyDescent="0.3">
      <c r="A279" s="2">
        <v>45485</v>
      </c>
      <c r="B279" s="3" t="s">
        <v>131</v>
      </c>
      <c r="C279" s="3" t="s">
        <v>64</v>
      </c>
      <c r="D279" s="3" t="s">
        <v>496</v>
      </c>
      <c r="E279" s="3" t="s">
        <v>219</v>
      </c>
      <c r="F279" s="3" t="s">
        <v>26</v>
      </c>
      <c r="G279" s="3">
        <v>18</v>
      </c>
      <c r="H279" s="3" t="s">
        <v>27</v>
      </c>
      <c r="I279" s="3">
        <v>1</v>
      </c>
      <c r="J279" s="3">
        <v>1804</v>
      </c>
      <c r="K279" s="3"/>
      <c r="L279" s="3"/>
      <c r="M279" s="3">
        <v>15.25</v>
      </c>
      <c r="N279" s="3">
        <f>J279-J279*M279/100</f>
        <v>1528.8899999999999</v>
      </c>
      <c r="O279" s="4">
        <f>N279+N279*18/100</f>
        <v>1804.0901999999999</v>
      </c>
      <c r="P279" s="3"/>
    </row>
    <row r="280" spans="1:16" x14ac:dyDescent="0.3">
      <c r="A280" s="2">
        <v>45485</v>
      </c>
      <c r="B280" s="3" t="s">
        <v>131</v>
      </c>
      <c r="C280" s="3" t="s">
        <v>64</v>
      </c>
      <c r="D280" s="3" t="s">
        <v>497</v>
      </c>
      <c r="E280" s="3" t="s">
        <v>219</v>
      </c>
      <c r="F280" s="3" t="s">
        <v>26</v>
      </c>
      <c r="G280" s="3">
        <v>18</v>
      </c>
      <c r="H280" s="3" t="s">
        <v>27</v>
      </c>
      <c r="I280" s="3">
        <v>1</v>
      </c>
      <c r="J280" s="3">
        <v>1449</v>
      </c>
      <c r="K280" s="3"/>
      <c r="L280" s="3"/>
      <c r="M280" s="3">
        <v>15.25</v>
      </c>
      <c r="N280" s="3">
        <f>J280-J280*M280/100</f>
        <v>1228.0274999999999</v>
      </c>
      <c r="O280" s="4">
        <f>N280+N280*18/100</f>
        <v>1449.0724499999999</v>
      </c>
      <c r="P280" s="3"/>
    </row>
    <row r="281" spans="1:16" x14ac:dyDescent="0.3">
      <c r="A281" s="2">
        <v>45485</v>
      </c>
      <c r="B281" s="3" t="s">
        <v>123</v>
      </c>
      <c r="C281" s="3" t="s">
        <v>70</v>
      </c>
      <c r="D281" s="3" t="s">
        <v>498</v>
      </c>
      <c r="E281" s="3" t="s">
        <v>219</v>
      </c>
      <c r="F281" s="3" t="s">
        <v>26</v>
      </c>
      <c r="G281" s="3">
        <v>18</v>
      </c>
      <c r="H281" s="3" t="s">
        <v>27</v>
      </c>
      <c r="I281" s="3">
        <v>1</v>
      </c>
      <c r="J281" s="3">
        <v>2508</v>
      </c>
      <c r="K281" s="3"/>
      <c r="L281" s="3"/>
      <c r="M281" s="3">
        <v>15.25</v>
      </c>
      <c r="N281" s="3">
        <f>J281-J281*M281/100</f>
        <v>2125.5299999999997</v>
      </c>
      <c r="O281" s="4">
        <f>N281+N281*18/100</f>
        <v>2508.1253999999999</v>
      </c>
      <c r="P281" s="3"/>
    </row>
    <row r="282" spans="1:16" x14ac:dyDescent="0.3">
      <c r="A282" s="2">
        <v>45485</v>
      </c>
      <c r="B282" s="3" t="s">
        <v>113</v>
      </c>
      <c r="C282" s="3" t="s">
        <v>44</v>
      </c>
      <c r="D282" s="3" t="s">
        <v>499</v>
      </c>
      <c r="E282" s="3" t="s">
        <v>219</v>
      </c>
      <c r="F282" s="3" t="s">
        <v>26</v>
      </c>
      <c r="G282" s="3">
        <v>18</v>
      </c>
      <c r="H282" s="3" t="s">
        <v>27</v>
      </c>
      <c r="I282" s="3">
        <v>1</v>
      </c>
      <c r="J282" s="3">
        <v>4853</v>
      </c>
      <c r="K282" s="3"/>
      <c r="L282" s="3"/>
      <c r="M282" s="3">
        <v>15.25</v>
      </c>
      <c r="N282" s="3">
        <f>J282-J282*M282/100</f>
        <v>4112.9174999999996</v>
      </c>
      <c r="O282" s="4">
        <f>N282+N282*18/100</f>
        <v>4853.2426499999992</v>
      </c>
      <c r="P282" s="3"/>
    </row>
    <row r="283" spans="1:16" x14ac:dyDescent="0.3">
      <c r="A283" s="2">
        <v>45485</v>
      </c>
      <c r="B283" s="3" t="s">
        <v>114</v>
      </c>
      <c r="C283" s="3" t="s">
        <v>45</v>
      </c>
      <c r="D283" s="3" t="s">
        <v>500</v>
      </c>
      <c r="E283" s="3" t="s">
        <v>219</v>
      </c>
      <c r="F283" s="3" t="s">
        <v>26</v>
      </c>
      <c r="G283" s="3">
        <v>18</v>
      </c>
      <c r="H283" s="3" t="s">
        <v>27</v>
      </c>
      <c r="I283" s="3">
        <v>1</v>
      </c>
      <c r="J283" s="3">
        <v>2285</v>
      </c>
      <c r="K283" s="3"/>
      <c r="L283" s="3"/>
      <c r="M283" s="3">
        <v>15.25</v>
      </c>
      <c r="N283" s="3">
        <f>J283-J283*M283/100</f>
        <v>1936.5374999999999</v>
      </c>
      <c r="O283" s="4">
        <f>N283+N283*18/100</f>
        <v>2285.1142499999996</v>
      </c>
      <c r="P283" s="3"/>
    </row>
    <row r="284" spans="1:16" x14ac:dyDescent="0.3">
      <c r="A284" s="2">
        <v>45485</v>
      </c>
      <c r="B284" s="3" t="s">
        <v>175</v>
      </c>
      <c r="C284" s="3" t="s">
        <v>53</v>
      </c>
      <c r="D284" s="3" t="s">
        <v>501</v>
      </c>
      <c r="E284" s="3" t="s">
        <v>219</v>
      </c>
      <c r="F284" s="3" t="s">
        <v>26</v>
      </c>
      <c r="G284" s="3">
        <v>18</v>
      </c>
      <c r="H284" s="3" t="s">
        <v>27</v>
      </c>
      <c r="I284" s="3">
        <v>1</v>
      </c>
      <c r="J284" s="3">
        <v>743</v>
      </c>
      <c r="K284" s="3"/>
      <c r="L284" s="3"/>
      <c r="M284" s="3">
        <v>15.25</v>
      </c>
      <c r="N284" s="3">
        <f>J284-J284*M284/100</f>
        <v>629.6925</v>
      </c>
      <c r="O284" s="4">
        <f>N284+N284*18/100</f>
        <v>743.03715</v>
      </c>
      <c r="P284" s="3"/>
    </row>
    <row r="285" spans="1:16" x14ac:dyDescent="0.3">
      <c r="A285" s="2">
        <v>45485</v>
      </c>
      <c r="B285" s="3" t="s">
        <v>163</v>
      </c>
      <c r="C285" s="3" t="s">
        <v>55</v>
      </c>
      <c r="D285" s="3" t="s">
        <v>502</v>
      </c>
      <c r="E285" s="3" t="s">
        <v>219</v>
      </c>
      <c r="F285" s="3" t="s">
        <v>26</v>
      </c>
      <c r="G285" s="3">
        <v>18</v>
      </c>
      <c r="H285" s="3" t="s">
        <v>27</v>
      </c>
      <c r="I285" s="3">
        <v>1</v>
      </c>
      <c r="J285" s="3">
        <v>2114</v>
      </c>
      <c r="K285" s="3"/>
      <c r="L285" s="3"/>
      <c r="M285" s="3">
        <v>15.25</v>
      </c>
      <c r="N285" s="3">
        <f>J285-J285*M285/100</f>
        <v>1791.615</v>
      </c>
      <c r="O285" s="4">
        <f>N285+N285*18/100</f>
        <v>2114.1057000000001</v>
      </c>
      <c r="P285" s="3"/>
    </row>
    <row r="286" spans="1:16" x14ac:dyDescent="0.3">
      <c r="A286" s="2">
        <v>45488</v>
      </c>
      <c r="B286" s="3" t="s">
        <v>143</v>
      </c>
      <c r="C286" s="3" t="s">
        <v>10</v>
      </c>
      <c r="D286" s="3" t="s">
        <v>503</v>
      </c>
      <c r="E286" s="3" t="s">
        <v>219</v>
      </c>
      <c r="F286" s="3" t="s">
        <v>26</v>
      </c>
      <c r="G286" s="3">
        <v>18</v>
      </c>
      <c r="H286" s="3" t="s">
        <v>27</v>
      </c>
      <c r="I286" s="3">
        <v>1</v>
      </c>
      <c r="J286" s="3">
        <v>1567</v>
      </c>
      <c r="K286" s="3"/>
      <c r="L286" s="3"/>
      <c r="M286" s="3">
        <v>15.25</v>
      </c>
      <c r="N286" s="3">
        <f>J286-J286*M286/100</f>
        <v>1328.0325</v>
      </c>
      <c r="O286" s="4">
        <f>N286+N286*18/100</f>
        <v>1567.07835</v>
      </c>
      <c r="P286" s="3"/>
    </row>
    <row r="287" spans="1:16" x14ac:dyDescent="0.3">
      <c r="A287" s="2">
        <v>45488</v>
      </c>
      <c r="B287" s="3" t="s">
        <v>138</v>
      </c>
      <c r="C287" s="3" t="s">
        <v>69</v>
      </c>
      <c r="D287" s="3" t="s">
        <v>504</v>
      </c>
      <c r="E287" s="3" t="s">
        <v>219</v>
      </c>
      <c r="F287" s="3" t="s">
        <v>26</v>
      </c>
      <c r="G287" s="3">
        <v>18</v>
      </c>
      <c r="H287" s="3" t="s">
        <v>27</v>
      </c>
      <c r="I287" s="3">
        <v>1</v>
      </c>
      <c r="J287" s="3">
        <v>611</v>
      </c>
      <c r="K287" s="3"/>
      <c r="L287" s="3"/>
      <c r="M287" s="3">
        <v>15.25</v>
      </c>
      <c r="N287" s="3">
        <f>J287-J287*M287/100</f>
        <v>517.82249999999999</v>
      </c>
      <c r="O287" s="4">
        <f>N287+N287*18/100</f>
        <v>611.03054999999995</v>
      </c>
      <c r="P287" s="3"/>
    </row>
    <row r="288" spans="1:16" x14ac:dyDescent="0.3">
      <c r="A288" s="2">
        <v>45488</v>
      </c>
      <c r="B288" s="3" t="s">
        <v>143</v>
      </c>
      <c r="C288" s="3" t="s">
        <v>10</v>
      </c>
      <c r="D288" s="3" t="s">
        <v>505</v>
      </c>
      <c r="E288" s="3" t="s">
        <v>219</v>
      </c>
      <c r="F288" s="3" t="s">
        <v>26</v>
      </c>
      <c r="G288" s="3">
        <v>18</v>
      </c>
      <c r="H288" s="3" t="s">
        <v>27</v>
      </c>
      <c r="I288" s="3">
        <v>1</v>
      </c>
      <c r="J288" s="3">
        <v>6373</v>
      </c>
      <c r="K288" s="3"/>
      <c r="L288" s="3"/>
      <c r="M288" s="3">
        <v>15.25</v>
      </c>
      <c r="N288" s="3">
        <f>J288-J288*M288/100</f>
        <v>5401.1175000000003</v>
      </c>
      <c r="O288" s="4">
        <f>N288+N288*18/100</f>
        <v>6373.3186500000002</v>
      </c>
      <c r="P288" s="3"/>
    </row>
  </sheetData>
  <autoFilter ref="A1:P288">
    <sortState ref="A2:P288">
      <sortCondition ref="A1:A28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2024-07-15T11:44:50Z</dcterms:modified>
</cp:coreProperties>
</file>