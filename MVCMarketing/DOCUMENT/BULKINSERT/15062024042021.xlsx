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-105" yWindow="-105" windowWidth="23250" windowHeight="12570"/>
  </bookViews>
  <sheets>
    <sheet name="ReportInwardDirect06-15-202411_" sheetId="1" r:id="rId1"/>
    <sheet name="Sheet1" sheetId="2" r:id="rId2"/>
  </sheets>
  <calcPr calcId="124519"/>
</workbook>
</file>

<file path=xl/calcChain.xml><?xml version="1.0" encoding="utf-8"?>
<calcChain xmlns="http://schemas.openxmlformats.org/spreadsheetml/2006/main">
  <c r="O168" i="1"/>
  <c r="O167"/>
  <c r="O166"/>
  <c r="O165"/>
  <c r="O164"/>
  <c r="O163"/>
  <c r="O162"/>
  <c r="O161"/>
  <c r="O160"/>
  <c r="O159"/>
  <c r="O158"/>
  <c r="O157"/>
  <c r="O156"/>
  <c r="O155"/>
  <c r="O154"/>
  <c r="O153"/>
  <c r="O152"/>
  <c r="O151"/>
  <c r="O150"/>
  <c r="O149"/>
  <c r="O148"/>
  <c r="O147"/>
  <c r="O146"/>
  <c r="O145"/>
  <c r="O144"/>
  <c r="O143"/>
  <c r="O142"/>
  <c r="O141"/>
  <c r="O140"/>
  <c r="O139"/>
  <c r="O138"/>
  <c r="O137"/>
  <c r="O136"/>
  <c r="O135"/>
  <c r="O134"/>
  <c r="O133"/>
  <c r="O132"/>
  <c r="O131"/>
  <c r="O130"/>
  <c r="O129"/>
  <c r="O128"/>
  <c r="O127"/>
  <c r="O126"/>
  <c r="O125"/>
  <c r="O124"/>
  <c r="O123"/>
  <c r="O122"/>
  <c r="O121"/>
  <c r="O120"/>
  <c r="O119"/>
  <c r="O118"/>
  <c r="O117"/>
  <c r="O116"/>
  <c r="O115"/>
  <c r="O114"/>
  <c r="O113"/>
  <c r="O112"/>
  <c r="O111"/>
  <c r="O110"/>
  <c r="O109"/>
  <c r="O108"/>
  <c r="O107"/>
  <c r="O106"/>
  <c r="O105"/>
  <c r="O104"/>
  <c r="O103"/>
  <c r="O102"/>
  <c r="O101"/>
  <c r="O100"/>
  <c r="O99"/>
  <c r="O98"/>
  <c r="O97"/>
  <c r="O96"/>
  <c r="O95"/>
  <c r="O94"/>
  <c r="O93"/>
  <c r="O92"/>
  <c r="O91"/>
  <c r="O90"/>
  <c r="O89"/>
  <c r="O88"/>
  <c r="O87"/>
  <c r="O86"/>
  <c r="O85"/>
  <c r="O84"/>
  <c r="O83"/>
  <c r="O82"/>
  <c r="O81"/>
  <c r="O80"/>
  <c r="O79"/>
  <c r="O78"/>
  <c r="O77"/>
  <c r="O76"/>
  <c r="O75"/>
  <c r="O74"/>
  <c r="O73"/>
  <c r="O72"/>
  <c r="O71"/>
  <c r="O70"/>
  <c r="O69"/>
  <c r="O68"/>
  <c r="O67"/>
  <c r="O66"/>
  <c r="O65"/>
  <c r="O64"/>
  <c r="O63"/>
  <c r="O62"/>
  <c r="O61"/>
  <c r="O60"/>
  <c r="O59"/>
  <c r="O58"/>
  <c r="O57"/>
  <c r="O56"/>
  <c r="O55"/>
  <c r="O54"/>
  <c r="O53"/>
  <c r="O52"/>
  <c r="O51"/>
  <c r="O50"/>
  <c r="O49"/>
  <c r="O48"/>
  <c r="O47"/>
  <c r="O46"/>
  <c r="O45"/>
  <c r="O44"/>
  <c r="O43"/>
  <c r="O42"/>
  <c r="O41"/>
  <c r="O40"/>
  <c r="O39"/>
  <c r="O38"/>
  <c r="O37"/>
  <c r="O36"/>
  <c r="O35"/>
  <c r="O34"/>
  <c r="O33"/>
  <c r="O32"/>
  <c r="O31"/>
  <c r="O30"/>
  <c r="O29"/>
  <c r="O28"/>
  <c r="O27"/>
  <c r="O26"/>
  <c r="O25"/>
  <c r="O24"/>
  <c r="O23"/>
  <c r="O22"/>
  <c r="O21"/>
  <c r="O20"/>
  <c r="O19"/>
  <c r="O18"/>
  <c r="O17"/>
  <c r="O16"/>
  <c r="O15"/>
  <c r="O14"/>
  <c r="O13"/>
  <c r="O12"/>
  <c r="O11"/>
  <c r="O10"/>
  <c r="O9"/>
  <c r="O8"/>
  <c r="O7"/>
  <c r="O6"/>
  <c r="O5"/>
  <c r="O4"/>
  <c r="O3"/>
  <c r="O2"/>
</calcChain>
</file>

<file path=xl/sharedStrings.xml><?xml version="1.0" encoding="utf-8"?>
<sst xmlns="http://schemas.openxmlformats.org/spreadsheetml/2006/main" count="1474" uniqueCount="899">
  <si>
    <t>Description</t>
  </si>
  <si>
    <t>Rate</t>
  </si>
  <si>
    <t>Discount 1</t>
  </si>
  <si>
    <t>Discount 2</t>
  </si>
  <si>
    <t>GST</t>
  </si>
  <si>
    <t>Remark</t>
  </si>
  <si>
    <t>Date</t>
  </si>
  <si>
    <t>Priority</t>
  </si>
  <si>
    <t>Distributor</t>
  </si>
  <si>
    <t>Order No</t>
  </si>
  <si>
    <t>Itemcode</t>
  </si>
  <si>
    <t>Quantity</t>
  </si>
  <si>
    <t>Discount 3</t>
  </si>
  <si>
    <t>Total(Exc. GST)</t>
  </si>
  <si>
    <t>Final(Inc. GST)</t>
  </si>
  <si>
    <t>Reference No</t>
  </si>
  <si>
    <t>Code</t>
  </si>
  <si>
    <t>UMIYA ELECTRONICS (PANDESARA)</t>
  </si>
  <si>
    <t>SHARDA ELECTRICALS</t>
  </si>
  <si>
    <t>A26A</t>
  </si>
  <si>
    <t>REGAL ANGLE HOLDER</t>
  </si>
  <si>
    <t>MB116</t>
  </si>
  <si>
    <t>E MATT (B) 6A 1W SWITCH</t>
  </si>
  <si>
    <t>MB7160</t>
  </si>
  <si>
    <t>E MATT (B) MODULAR PALATE OLD</t>
  </si>
  <si>
    <t>ARIHANT ELE.ANDHARDWARE STORES (BHATAR)</t>
  </si>
  <si>
    <t>MBFS126</t>
  </si>
  <si>
    <t>E MATT (B) FLAT 6A 2W SWITCH</t>
  </si>
  <si>
    <t>MGFS1116</t>
  </si>
  <si>
    <t>E MATT (G) FLAT 16A 1W SWITCH</t>
  </si>
  <si>
    <t>A22</t>
  </si>
  <si>
    <t>JX DLX ANGLE HOLDER</t>
  </si>
  <si>
    <t>E2425</t>
  </si>
  <si>
    <t>ENA M.STARTER 25A. 2-M</t>
  </si>
  <si>
    <t>E116</t>
  </si>
  <si>
    <t>ENA 6A 1-W SWITCH 1-M</t>
  </si>
  <si>
    <t>EAV208</t>
  </si>
  <si>
    <t>AVION WHITE FRAME PLT M-8 (H)</t>
  </si>
  <si>
    <t>ARUN ELECTRICALS</t>
  </si>
  <si>
    <t>DJ4</t>
  </si>
  <si>
    <t>JAINEX 6X16 AMP.S.S.COMB</t>
  </si>
  <si>
    <t>GAYATRI ELECTRICALS</t>
  </si>
  <si>
    <t>CRAB116</t>
  </si>
  <si>
    <t>R BLACK 10A 1W SWITCH 1M</t>
  </si>
  <si>
    <t>CRAG306</t>
  </si>
  <si>
    <t>R GREY 6A 3 PIN SOCKET 2M</t>
  </si>
  <si>
    <t>CRAG423</t>
  </si>
  <si>
    <t>R GREY 5 STEP REGULATOR 2M (NEW)</t>
  </si>
  <si>
    <t>CRAG412</t>
  </si>
  <si>
    <t>R GREY 4 STEP FAN REGULATOR 1M</t>
  </si>
  <si>
    <t>CRAG2432</t>
  </si>
  <si>
    <t>R GREY M.STARTER 32A 2M</t>
  </si>
  <si>
    <t>CRAG711</t>
  </si>
  <si>
    <t>R GREY BLANK PLT 1M</t>
  </si>
  <si>
    <t>LN116</t>
  </si>
  <si>
    <t>L DOLLY 6A 1W SWITCH 1-M</t>
  </si>
  <si>
    <t>E711</t>
  </si>
  <si>
    <t>ENA BLANK PLT</t>
  </si>
  <si>
    <t>JAYANT ELECTRIC STORES</t>
  </si>
  <si>
    <t>JAY KHODIYAR ELECTRICALS (HASMUKHBHAI)</t>
  </si>
  <si>
    <t>KRISHNA ENTERPRISE - SARTHANA (RAVIBHAI)</t>
  </si>
  <si>
    <t>VISHAL TRADERS</t>
  </si>
  <si>
    <t>RSP-BG-102</t>
  </si>
  <si>
    <t>R SPARKLE (MATT) BLACKLINE GREY PLT 2 -M</t>
  </si>
  <si>
    <t>RSP-BG-103</t>
  </si>
  <si>
    <t>R SPARKLE (MATT) BLACKLINE GREY PLT 3 -M</t>
  </si>
  <si>
    <t>RSP-BG-104</t>
  </si>
  <si>
    <t>R SPARKLE (MATT) BLACKLINE GREY PLT 4 -M</t>
  </si>
  <si>
    <t>RSP-BG-106</t>
  </si>
  <si>
    <t>R SPARKLE (MATT) BLACKLINE GREY PLT 6 -M</t>
  </si>
  <si>
    <t>RSP-BG-112</t>
  </si>
  <si>
    <t>R SPARKLE (MATT) BLACKLINE GREY PLT 12 -</t>
  </si>
  <si>
    <t>RSP-BG-208</t>
  </si>
  <si>
    <t>R SPARKLE (MATT) BLACKLINE GREY PLT 8 -M</t>
  </si>
  <si>
    <t>SHREE RAM ELECTRICALS (MOTA VARACHHA)</t>
  </si>
  <si>
    <t>RADHE ELECTRICAL</t>
  </si>
  <si>
    <t>R-S-BG103</t>
  </si>
  <si>
    <t>R SILVESA BLACK PLT - GOLD FRAME 3-M</t>
  </si>
  <si>
    <t>R-S-BG104</t>
  </si>
  <si>
    <t>R SILVESA BLACK PLT - GOLD FRAME 4-M</t>
  </si>
  <si>
    <t>R-S-BG106</t>
  </si>
  <si>
    <t>R SILVESA BLACK PLT - GOLD FRAME 6-M</t>
  </si>
  <si>
    <t>R-S-BG208</t>
  </si>
  <si>
    <t>R SILVESA BLACK PLT - GOLD FRAME 8-M (H)</t>
  </si>
  <si>
    <t>R-S-BG112</t>
  </si>
  <si>
    <t>R SILVESA BLACK PLT - GOLD FRAME 12-M</t>
  </si>
  <si>
    <t>R-S-BG118</t>
  </si>
  <si>
    <t>R SILVESA BLACK PLT - GOLD FRAME 18-M</t>
  </si>
  <si>
    <t>CRAB2432</t>
  </si>
  <si>
    <t>R BLACK M.STARTER 32A 2M</t>
  </si>
  <si>
    <t>CRAB423</t>
  </si>
  <si>
    <t>R BLACK 5 STEP REGULATOR 2M (NEW)</t>
  </si>
  <si>
    <t>MB10106</t>
  </si>
  <si>
    <t>E MATT (B) EVARA PLT M-6</t>
  </si>
  <si>
    <t>CRDSB126</t>
  </si>
  <si>
    <t>RDS (B) 10A 2W SWITCH (SPECTRA)</t>
  </si>
  <si>
    <t>SANJAY FAN PARTS</t>
  </si>
  <si>
    <t>RAJESH ELECTRIC</t>
  </si>
  <si>
    <t>A20</t>
  </si>
  <si>
    <t>JX ADAPTOR</t>
  </si>
  <si>
    <t>DG2</t>
  </si>
  <si>
    <t>JX 400W.SKT.SIZE DIMMER</t>
  </si>
  <si>
    <t>VINAY ELECTRIC SERVICE</t>
  </si>
  <si>
    <t>EDS1116</t>
  </si>
  <si>
    <t>ENA DLX 16A 1-W SWITCH 1-M</t>
  </si>
  <si>
    <t>MB711</t>
  </si>
  <si>
    <t>E MATT (B) BLANK PLATE</t>
  </si>
  <si>
    <t>CRDSG126</t>
  </si>
  <si>
    <t>RDS (G) 10A 2W SWITCH (SPECTRA)</t>
  </si>
  <si>
    <t>CRDSG116</t>
  </si>
  <si>
    <t>RDS (G) 10A 1W SWITCH 1M (SPECTRA)</t>
  </si>
  <si>
    <t>SHREE UMIYA ELECTRICALS (NEW)</t>
  </si>
  <si>
    <t>A14</t>
  </si>
  <si>
    <t>JX 16AMP.3 PIN TOP</t>
  </si>
  <si>
    <t>W2</t>
  </si>
  <si>
    <t>JAINEX 5 IN 1 WITH JUN. BOX</t>
  </si>
  <si>
    <t>A16</t>
  </si>
  <si>
    <t>JX 6AMP.MULTI PLUG</t>
  </si>
  <si>
    <t>DF1</t>
  </si>
  <si>
    <t>JX 10 AMP.K. K.FUSE</t>
  </si>
  <si>
    <t>DG1</t>
  </si>
  <si>
    <t>JX 300W.SWI.SIZE DIMMER</t>
  </si>
  <si>
    <t>A1</t>
  </si>
  <si>
    <t>JX BED SWITCH</t>
  </si>
  <si>
    <t>RA10112</t>
  </si>
  <si>
    <t>R WHITE PLT M-12</t>
  </si>
  <si>
    <t>EAV104</t>
  </si>
  <si>
    <t>AVION WHITE FRAME PLT M-4</t>
  </si>
  <si>
    <t>SRA112</t>
  </si>
  <si>
    <t>R SPECTRA WHITE PLT M-12</t>
  </si>
  <si>
    <t>ALT01</t>
  </si>
  <si>
    <t>ALX LINE TESTER (YELLOW) MAGNETIC</t>
  </si>
  <si>
    <t>EDS116</t>
  </si>
  <si>
    <t>ENA DLX 6A 1-W SWITCH 1-M</t>
  </si>
  <si>
    <t>E611</t>
  </si>
  <si>
    <t>ENA INDICATOR</t>
  </si>
  <si>
    <t>RAB106</t>
  </si>
  <si>
    <t>R BLACK PLT M-6</t>
  </si>
  <si>
    <t>SRAB103</t>
  </si>
  <si>
    <t>R SPECTRA BLACK PLT M-3</t>
  </si>
  <si>
    <t>RAB208</t>
  </si>
  <si>
    <t>R BLACK PLT M-8 (H)</t>
  </si>
  <si>
    <t>RAB118</t>
  </si>
  <si>
    <t>R BLACK PLT M-18</t>
  </si>
  <si>
    <t>LN7160</t>
  </si>
  <si>
    <t>LIENA NON MODULAR PATE OLD</t>
  </si>
  <si>
    <t>OL126</t>
  </si>
  <si>
    <t>ALEX OLINA 10A.2 WAY SWITCH 1M</t>
  </si>
  <si>
    <t>LAXMI ELECTRIC &amp; SWITCH BOARD</t>
  </si>
  <si>
    <t>MB1116</t>
  </si>
  <si>
    <t>E MATT (B) 16A 1W SWITCH</t>
  </si>
  <si>
    <t>MB10102</t>
  </si>
  <si>
    <t>E MATT (B) EVARA PLT M-2</t>
  </si>
  <si>
    <t>MB10104</t>
  </si>
  <si>
    <t>E MATT (B) EVARA PLT M-4</t>
  </si>
  <si>
    <t>SHIVAJI AND CO.</t>
  </si>
  <si>
    <t>LN1003</t>
  </si>
  <si>
    <t>LIENA 6/16A S.S.COMB ISI</t>
  </si>
  <si>
    <t>MAYUR ELECTRIC &amp; ELECTRONIC</t>
  </si>
  <si>
    <t>DA4O</t>
  </si>
  <si>
    <t>JX SAFARI 1 WAY SWITCH</t>
  </si>
  <si>
    <t>A13</t>
  </si>
  <si>
    <t>JX 6AMP.3 PIN TOP</t>
  </si>
  <si>
    <t>EAVB116</t>
  </si>
  <si>
    <t>AVION BLACK FRAME PLT M-16</t>
  </si>
  <si>
    <t>SRAB116</t>
  </si>
  <si>
    <t>R SPECTRA BLACK PLT M-16</t>
  </si>
  <si>
    <t>SRAB112</t>
  </si>
  <si>
    <t>R SPECTRA BLACK PLT M-12</t>
  </si>
  <si>
    <t>SRAB208</t>
  </si>
  <si>
    <t>R SPECTRA BLACK PLT M-8 (H)</t>
  </si>
  <si>
    <t>PATIDAR ELECTRICALS</t>
  </si>
  <si>
    <t>SRAB108</t>
  </si>
  <si>
    <t>R SPECTRA BLACK PLT M-8 (V)</t>
  </si>
  <si>
    <t>SRAB106</t>
  </si>
  <si>
    <t>R SPECTRA BLACK PLT M-6</t>
  </si>
  <si>
    <t>R-S-BG101</t>
  </si>
  <si>
    <t>R SILVESA BLACK PLT - GOLD FRAME 1-M</t>
  </si>
  <si>
    <t>R-S-BG102</t>
  </si>
  <si>
    <t>R SILVESA BLACK PLT - GOLD FRAME 2-M</t>
  </si>
  <si>
    <t>EXB101</t>
  </si>
  <si>
    <t>EXA BLACK FRAME PLT M-1</t>
  </si>
  <si>
    <t>EXB102</t>
  </si>
  <si>
    <t>EXA BLACK FRAME PLT M-2</t>
  </si>
  <si>
    <t>EXB103</t>
  </si>
  <si>
    <t>EXA BLACK FRAME PLT M-3</t>
  </si>
  <si>
    <t>EXB208</t>
  </si>
  <si>
    <t>EXA BLACK FRAME PLT M-8 (H)</t>
  </si>
  <si>
    <t>EXB112</t>
  </si>
  <si>
    <t>EXA BLACK FRAME PLT M-12</t>
  </si>
  <si>
    <t>EXB106</t>
  </si>
  <si>
    <t>EXA BLACK FRAME PLT M-6</t>
  </si>
  <si>
    <t>A27</t>
  </si>
  <si>
    <t>JX ECO ALU. RING BATTEN HOLDER</t>
  </si>
  <si>
    <t>EAVB101</t>
  </si>
  <si>
    <t>AVION BLACK FRAME PLT M-1</t>
  </si>
  <si>
    <t>EAVB102</t>
  </si>
  <si>
    <t>AVION BLACK FRAME PLT M-2</t>
  </si>
  <si>
    <t>EX40406</t>
  </si>
  <si>
    <t>EXA SURFACE BACK PLATE 6-M</t>
  </si>
  <si>
    <t>EX40416</t>
  </si>
  <si>
    <t>EXA SURFACE BACK PLATE 16-M</t>
  </si>
  <si>
    <t>EDB1012</t>
  </si>
  <si>
    <t>ENA 10-12 WAY METAL DISTRIBUTION BOARD</t>
  </si>
  <si>
    <t>AA11AO</t>
  </si>
  <si>
    <t>ALX MOD./SQ ANGLE HOLDER W ALU RING</t>
  </si>
  <si>
    <t>NEW SWASTIC ELECTRICALS</t>
  </si>
  <si>
    <t>E7160</t>
  </si>
  <si>
    <t>ENA MODULAR PLATE ADJUSTABLE FOR 1/2/3 M</t>
  </si>
  <si>
    <t>EAV108</t>
  </si>
  <si>
    <t>AVION WHITE FRAME PLT M-8 (V)</t>
  </si>
  <si>
    <t>EAVC106</t>
  </si>
  <si>
    <t>AVION SILVER FRAME PLT M-6</t>
  </si>
  <si>
    <t>EAVC108</t>
  </si>
  <si>
    <t>AVION SILVER FRAME PLT M-8 (V)</t>
  </si>
  <si>
    <t>EAVC112</t>
  </si>
  <si>
    <t>AVION SILVER FRAME PLT M-12</t>
  </si>
  <si>
    <t>EAVC118</t>
  </si>
  <si>
    <t>AVION SILVER FRAME PLT M-18</t>
  </si>
  <si>
    <t>JX-D25</t>
  </si>
  <si>
    <t>JX MCB DP 25 AMP</t>
  </si>
  <si>
    <t>EAVC101</t>
  </si>
  <si>
    <t>AVION SILVER FRAME PLT M-1</t>
  </si>
  <si>
    <t>EAVC102</t>
  </si>
  <si>
    <t>AVION SILVER FRAME PLT M-2</t>
  </si>
  <si>
    <t>EAVC103</t>
  </si>
  <si>
    <t>AVION SILVER FRAME PLT M-3</t>
  </si>
  <si>
    <t>QADRI ELECTRICALS (NANPURA)</t>
  </si>
  <si>
    <t>CRAB412</t>
  </si>
  <si>
    <t>R BLACK 4 STEP FAN REGULATOR 1M</t>
  </si>
  <si>
    <t>MGAG106</t>
  </si>
  <si>
    <t>E MATT (G) AVION GREY RING PLATE  6-M</t>
  </si>
  <si>
    <t>RA412</t>
  </si>
  <si>
    <t>R WHITE 4 STEP FAN REGULATOR 1M</t>
  </si>
  <si>
    <t>MAHAVIR ELECTRICALS (PANDESARA)</t>
  </si>
  <si>
    <t>DB2.50X3</t>
  </si>
  <si>
    <t>D 2.50 SQMM X 3 CORE (BLACK)</t>
  </si>
  <si>
    <t>DB0.75X2</t>
  </si>
  <si>
    <t>D 0.75 SQMM X 2 CORE (BLACK)</t>
  </si>
  <si>
    <t>JB1.50X2</t>
  </si>
  <si>
    <t>AS 1.50 SQMM X 2 CORE (BLACK)</t>
  </si>
  <si>
    <t>DB1.00X3</t>
  </si>
  <si>
    <t>D 1.00 SQMM X 3 CORE (BLACK)</t>
  </si>
  <si>
    <t>DB1.50X4</t>
  </si>
  <si>
    <t>D 1.50 SQMM X 4 CORE (BLACK)</t>
  </si>
  <si>
    <t>DW0.75X2</t>
  </si>
  <si>
    <t>D 0.75 SQMM X 2 CORE (WHITE)</t>
  </si>
  <si>
    <t>JW1.00X2</t>
  </si>
  <si>
    <t>AS 1.00 SQMM X 2 CORE (WHITE)</t>
  </si>
  <si>
    <t>DW1.50X3</t>
  </si>
  <si>
    <t>D 1.50 SQMM X 3 CORE (WHITE)</t>
  </si>
  <si>
    <t>SHRUTI ELECTRICALS</t>
  </si>
  <si>
    <t>CRDSB1116</t>
  </si>
  <si>
    <t>RDS (B) 20A 1W SWITCH (SPECTRA)</t>
  </si>
  <si>
    <t>CRDSB136</t>
  </si>
  <si>
    <t>RDS (B) 10A B/P SWITCH (SPECTRA)</t>
  </si>
  <si>
    <t>NW112</t>
  </si>
  <si>
    <t>ENA WHITE PLT M-12</t>
  </si>
  <si>
    <t>NW106</t>
  </si>
  <si>
    <t>ENA WHITE PLT M-6</t>
  </si>
  <si>
    <t>NW208</t>
  </si>
  <si>
    <t>ENA WHITE PLT M-8 (H)</t>
  </si>
  <si>
    <t>ARB-9</t>
  </si>
  <si>
    <t>AR BULKHEAD 9W (WH)</t>
  </si>
  <si>
    <t>CT36-150</t>
  </si>
  <si>
    <t>CT (W) 3.60 MM X 150 MM</t>
  </si>
  <si>
    <t>YASH ENTERPRISE</t>
  </si>
  <si>
    <t>W1</t>
  </si>
  <si>
    <t>JAINEX 6X16AMP.COMB.WITH JUN. BOX</t>
  </si>
  <si>
    <t>ROYAL ELECTRIC (RANKUVA)</t>
  </si>
  <si>
    <t>JBPSR-8-R</t>
  </si>
  <si>
    <t>JX 8W LED SURFACE PANEL RING (R)</t>
  </si>
  <si>
    <t>JBPSR-15-S</t>
  </si>
  <si>
    <t>JX 15W LED SURFACE PANEL RING (V)</t>
  </si>
  <si>
    <t>CRDG1116</t>
  </si>
  <si>
    <t>RD GREY 20A 1W SWITCH (SILVESA)</t>
  </si>
  <si>
    <t>GILITWALA ELECTRICALS</t>
  </si>
  <si>
    <t>RSP-WLW-102</t>
  </si>
  <si>
    <t>R SPARKLE (WOOD) WHITELINE L.WOOD PLT 2</t>
  </si>
  <si>
    <t>RSP-WLW-103</t>
  </si>
  <si>
    <t>R SPARKLE (WOOD) WHITELINE L.WOOD PLT 3</t>
  </si>
  <si>
    <t>RSP-BLW-106</t>
  </si>
  <si>
    <t>R SPARKLE (WOOD) BLACKLINE L.WOOD PLT 6</t>
  </si>
  <si>
    <t>RSP-WLW-208</t>
  </si>
  <si>
    <t>R SPARKLE (WOOD) WHITELINE L.WOOD PLT 8</t>
  </si>
  <si>
    <t>RSP-WLW-112</t>
  </si>
  <si>
    <t>R SPARKLE (WOOD) WHITELINE L.WOOD PLT 12</t>
  </si>
  <si>
    <t>RSP-WLW-116</t>
  </si>
  <si>
    <t>R SPARKLE (WOOD) WHITELINE L.WOOD PLT 16</t>
  </si>
  <si>
    <t>RD1116</t>
  </si>
  <si>
    <t>RD WHITE 20A 1W SWITCH 1M (SILVESA)</t>
  </si>
  <si>
    <t>RA423</t>
  </si>
  <si>
    <t>R WHITE 5 STEP REGULATOR (NEW)</t>
  </si>
  <si>
    <t>RA2425</t>
  </si>
  <si>
    <t>R WHITE M.STARTER 25A</t>
  </si>
  <si>
    <t>EAV103</t>
  </si>
  <si>
    <t>AVION WHITE FRAME PLT M-3</t>
  </si>
  <si>
    <t>CRAB711</t>
  </si>
  <si>
    <t>R BLACK BLANK PLT 1M</t>
  </si>
  <si>
    <t>E511</t>
  </si>
  <si>
    <t>ENA  USB CHARGER</t>
  </si>
  <si>
    <t>BHAGWATI ELECTRICALS</t>
  </si>
  <si>
    <t>CRDSG1116</t>
  </si>
  <si>
    <t>RDS (G) 20A 1W SWITCH (SPECTRA)</t>
  </si>
  <si>
    <t>NORMAL</t>
  </si>
  <si>
    <t>D-0024</t>
  </si>
  <si>
    <t>D-0256</t>
  </si>
  <si>
    <t>D-0117</t>
  </si>
  <si>
    <t>D-0141</t>
  </si>
  <si>
    <t>D-0232</t>
  </si>
  <si>
    <t>D-0160</t>
  </si>
  <si>
    <t>D-0188</t>
  </si>
  <si>
    <t>Name</t>
  </si>
  <si>
    <t>D-0001</t>
  </si>
  <si>
    <t>AAIJI ELECTRICALS AND HARDWARE</t>
  </si>
  <si>
    <t>D-0002</t>
  </si>
  <si>
    <t>AAIVARUDI ELECTRICALS &amp; MOTOR REWINDING</t>
  </si>
  <si>
    <t>D-0003</t>
  </si>
  <si>
    <t>AAKAR CONSTRUCTION</t>
  </si>
  <si>
    <t>D-0004</t>
  </si>
  <si>
    <t>AAKAR ELECTRICALS</t>
  </si>
  <si>
    <t>D-0005</t>
  </si>
  <si>
    <t>AASTHA ELECTRIC CORPORATION (UDHNA)</t>
  </si>
  <si>
    <t>D-0006</t>
  </si>
  <si>
    <t>AASTHA ELECTRICALS (SALES)</t>
  </si>
  <si>
    <t>D-0007</t>
  </si>
  <si>
    <t>AASTHA LED LIGHT (SALES)</t>
  </si>
  <si>
    <t>D-0008</t>
  </si>
  <si>
    <t>ABHISHEK ELECTRIC &amp; LED ZONE</t>
  </si>
  <si>
    <t>D-0009</t>
  </si>
  <si>
    <t>AJANTA ELECTRIC STORES</t>
  </si>
  <si>
    <t>D-0010</t>
  </si>
  <si>
    <t>AJANTA ELECTRICAL STORES (SHARMILABEN)</t>
  </si>
  <si>
    <t>D-0011</t>
  </si>
  <si>
    <t>AKSHAYBHAI (PHOONIX)</t>
  </si>
  <si>
    <t>D-0012</t>
  </si>
  <si>
    <t>ALEX ELECTRICALS (SALE)</t>
  </si>
  <si>
    <t>D-0013</t>
  </si>
  <si>
    <t>AMAN ELECTRICALS</t>
  </si>
  <si>
    <t>D-0014</t>
  </si>
  <si>
    <t>AMIZARA ENTERRISE</t>
  </si>
  <si>
    <t>D-0015</t>
  </si>
  <si>
    <t>ANAND ELECTRIC (ADAJAN)</t>
  </si>
  <si>
    <t>D-0016</t>
  </si>
  <si>
    <t>ANANDDHARA ELECTRICALS</t>
  </si>
  <si>
    <t>D-0017</t>
  </si>
  <si>
    <t>ANAS ELECTRICALS</t>
  </si>
  <si>
    <t>D-0018</t>
  </si>
  <si>
    <t>ANIL ELETRICALS (SALES)</t>
  </si>
  <si>
    <t>D-0019</t>
  </si>
  <si>
    <t>ANKUR ELECTRICALS AND ENGINEERING CO</t>
  </si>
  <si>
    <t>D-0020</t>
  </si>
  <si>
    <t>A-ONE ELECTRICALS</t>
  </si>
  <si>
    <t>D-0021</t>
  </si>
  <si>
    <t>ARCELORMITTAL NIPPON STEEL INDIA LIMITED</t>
  </si>
  <si>
    <t>D-0022</t>
  </si>
  <si>
    <t>ARHAM ELECTRIC (CHIKALI)</t>
  </si>
  <si>
    <t>D-0023</t>
  </si>
  <si>
    <t>ARIHANT ASSOCIATES</t>
  </si>
  <si>
    <t>D-0025</t>
  </si>
  <si>
    <t>ARIHANT ELECTRICALS (BHIMRAD)</t>
  </si>
  <si>
    <t>D-0026</t>
  </si>
  <si>
    <t>ARIHANT ELECTRICALS(SACHIN)</t>
  </si>
  <si>
    <t>D-0027</t>
  </si>
  <si>
    <t>ARIHANT ENTERPRISE (RUPALI NAHER) MOHITBHAI</t>
  </si>
  <si>
    <t>D-0028</t>
  </si>
  <si>
    <t>ARIHANT ENTERPRISES (ALTHAN)</t>
  </si>
  <si>
    <t>D-0029</t>
  </si>
  <si>
    <t>ARIHANT STATIONERS (BARDOLI)</t>
  </si>
  <si>
    <t>D-0030</t>
  </si>
  <si>
    <t>ARIHANT THE LED ZONE</t>
  </si>
  <si>
    <t>D-0031</t>
  </si>
  <si>
    <t>ARJAV DESAI</t>
  </si>
  <si>
    <t>D-0032</t>
  </si>
  <si>
    <t>D-0033</t>
  </si>
  <si>
    <t>ARYA LIGHTS &amp; ELECTRICALS</t>
  </si>
  <si>
    <t>D-0034</t>
  </si>
  <si>
    <t>ASHISH ELECTRICALS</t>
  </si>
  <si>
    <t>D-0035</t>
  </si>
  <si>
    <t>ASIAN ELECTRICALS</t>
  </si>
  <si>
    <t>D-0036</t>
  </si>
  <si>
    <t>ASIAN ELECTRO HOUSE</t>
  </si>
  <si>
    <t>D-0037</t>
  </si>
  <si>
    <t>AVAAMEE APPARELS INTERNATIONAL</t>
  </si>
  <si>
    <t>D-0038</t>
  </si>
  <si>
    <t>AXLE ELECTRICALS</t>
  </si>
  <si>
    <t>D-0039</t>
  </si>
  <si>
    <t>B R ENTERPRISE</t>
  </si>
  <si>
    <t>D-0040</t>
  </si>
  <si>
    <t>BADSHAH ELECTRICALS &amp; WATCH(UDHNA)</t>
  </si>
  <si>
    <t>D-0041</t>
  </si>
  <si>
    <t>BALAJI ELECTRIC CORPORATION</t>
  </si>
  <si>
    <t>D-0042</t>
  </si>
  <si>
    <t>BALAJI ELECTRICALS</t>
  </si>
  <si>
    <t>D-0043</t>
  </si>
  <si>
    <t>BALAJI ENTERPRISE (VANSDA)</t>
  </si>
  <si>
    <t>D-0044</t>
  </si>
  <si>
    <t>BALAJI INFRA</t>
  </si>
  <si>
    <t>D-0045</t>
  </si>
  <si>
    <t>BHADRESH SALES CORPORATION</t>
  </si>
  <si>
    <t>D-0046</t>
  </si>
  <si>
    <t>D-0047</t>
  </si>
  <si>
    <t>BHAGYODAY ELECTRICALS</t>
  </si>
  <si>
    <t>D-0048</t>
  </si>
  <si>
    <t>BHAGYODAY ELECTRICALS &amp; LIGHTS</t>
  </si>
  <si>
    <t>D-0049</t>
  </si>
  <si>
    <t>BHAKHAR LALJIBHAI VITHALBHAI</t>
  </si>
  <si>
    <t>D-0050</t>
  </si>
  <si>
    <t>BHARAT ELECTRIC AND SWITCHBOARD</t>
  </si>
  <si>
    <t>D-0051</t>
  </si>
  <si>
    <t>BHARTI ENTERPRISE (SALE)</t>
  </si>
  <si>
    <t>D-0052</t>
  </si>
  <si>
    <t>BHAVANI ELECTRICALS..</t>
  </si>
  <si>
    <t>D-0053</t>
  </si>
  <si>
    <t>BHAWANS ULTIMA</t>
  </si>
  <si>
    <t>D-0054</t>
  </si>
  <si>
    <t>C. K. FAN PARTS</t>
  </si>
  <si>
    <t>D-0055</t>
  </si>
  <si>
    <t>CANCEL BILL</t>
  </si>
  <si>
    <t>D-0056</t>
  </si>
  <si>
    <t>CANCLE</t>
  </si>
  <si>
    <t>D-0057</t>
  </si>
  <si>
    <t>CASH SALES ACCOUNT.</t>
  </si>
  <si>
    <t>D-0058</t>
  </si>
  <si>
    <t>CEERA ENTERPRISES</t>
  </si>
  <si>
    <t>D-0059</t>
  </si>
  <si>
    <t>CHAITALI ENTERPRISE</t>
  </si>
  <si>
    <t>D-0060</t>
  </si>
  <si>
    <t>CHANDAR ENTERPRISE</t>
  </si>
  <si>
    <t>D-0061</t>
  </si>
  <si>
    <t>CHHATRAPATI ELECTRICALS (BARDOLI)</t>
  </si>
  <si>
    <t>D-0062</t>
  </si>
  <si>
    <t>CHIRAG ELECTRIC (BHESTAN)</t>
  </si>
  <si>
    <t>D-0063</t>
  </si>
  <si>
    <t>CHIRAG ELECTRONICS (BEGAMPURA)</t>
  </si>
  <si>
    <t>D-0064</t>
  </si>
  <si>
    <t>CITYLIGHT ELECTRICALS</t>
  </si>
  <si>
    <t>D-0065</t>
  </si>
  <si>
    <t>D.K.LAKHANI &amp; CO. (SALES)</t>
  </si>
  <si>
    <t>D-0066</t>
  </si>
  <si>
    <t>DECENT ELECTRICALS</t>
  </si>
  <si>
    <t>D-0067</t>
  </si>
  <si>
    <t>DEEP ELECTRICALS (ANKLESHWAR)</t>
  </si>
  <si>
    <t>D-0068</t>
  </si>
  <si>
    <t>DEEP ELECTRICALS (ADAJAN)</t>
  </si>
  <si>
    <t>D-0069</t>
  </si>
  <si>
    <t>DHANLAXMI GLOBUS</t>
  </si>
  <si>
    <t>D-0070</t>
  </si>
  <si>
    <t>DHAVAL JYOTIPRAKASH DESAI</t>
  </si>
  <si>
    <t>D-0071</t>
  </si>
  <si>
    <t>DHAWAL ENTERPRISES</t>
  </si>
  <si>
    <t>D-0072</t>
  </si>
  <si>
    <t>DIAMOND ELECTRICAL AND LIGHT HOUSE (VANSDA)</t>
  </si>
  <si>
    <t>D-0073</t>
  </si>
  <si>
    <t>DIP ELECTRICALS (PALANPUR ROAD)</t>
  </si>
  <si>
    <t>D-0074</t>
  </si>
  <si>
    <t>DIPIKA LIGHTS</t>
  </si>
  <si>
    <t>D-0075</t>
  </si>
  <si>
    <t>DISHACHI ENERGY</t>
  </si>
  <si>
    <t>D-0076</t>
  </si>
  <si>
    <t>DIVINE ELECTRICALS</t>
  </si>
  <si>
    <t>D-0077</t>
  </si>
  <si>
    <t>DIYA ELECTRIC</t>
  </si>
  <si>
    <t>D-0078</t>
  </si>
  <si>
    <t>DOSTI ELECTONIC AND ELECTRICAL</t>
  </si>
  <si>
    <t>D-0079</t>
  </si>
  <si>
    <t>EKTA ELECTRIC (MOTA VARACHHA)</t>
  </si>
  <si>
    <t>D-0080</t>
  </si>
  <si>
    <t>EMS</t>
  </si>
  <si>
    <t>D-0081</t>
  </si>
  <si>
    <t>EVERON INDUSTRIES</t>
  </si>
  <si>
    <t>D-0082</t>
  </si>
  <si>
    <t>F.M.TRADERS</t>
  </si>
  <si>
    <t>D-0083</t>
  </si>
  <si>
    <t>FANTACY STATIONERY AND GIFT (BHARUCH)</t>
  </si>
  <si>
    <t>D-0084</t>
  </si>
  <si>
    <t>GAJANAND SPEARS</t>
  </si>
  <si>
    <t>D-0085</t>
  </si>
  <si>
    <t>GANESH ELECTRICALS AND WORKS</t>
  </si>
  <si>
    <t>D-0086</t>
  </si>
  <si>
    <t>GATI SPARE</t>
  </si>
  <si>
    <t>D-0087</t>
  </si>
  <si>
    <t>D-0088</t>
  </si>
  <si>
    <t>GAYATRI ELECTRICALS (SACHIN)</t>
  </si>
  <si>
    <t>D-0089</t>
  </si>
  <si>
    <t>GEL AMBE TRADING</t>
  </si>
  <si>
    <t>D-0090</t>
  </si>
  <si>
    <t>D-0091</t>
  </si>
  <si>
    <t>GLITTERON ELECTRICALS</t>
  </si>
  <si>
    <t>D-0092</t>
  </si>
  <si>
    <t>GOPI ELECTRICALS</t>
  </si>
  <si>
    <t>D-0093</t>
  </si>
  <si>
    <t>GREEN BUILDER</t>
  </si>
  <si>
    <t>D-0094</t>
  </si>
  <si>
    <t>GREEN ELECTRICALS PVT LTD SURAT (SALES)</t>
  </si>
  <si>
    <t>D-0095</t>
  </si>
  <si>
    <t>GUNGUN LIGHTS</t>
  </si>
  <si>
    <t>D-0096</t>
  </si>
  <si>
    <t>HAKIMI WIRE (UDHNA)</t>
  </si>
  <si>
    <t>D-0097</t>
  </si>
  <si>
    <t>HARI OM ELECTRICAL (JAHANGIRABAD)</t>
  </si>
  <si>
    <t>D-0098</t>
  </si>
  <si>
    <t>HARI OM ELECTRICALS</t>
  </si>
  <si>
    <t>D-0099</t>
  </si>
  <si>
    <t>HARI OM ELECTRICALS (ALTHAN-BHATAR)</t>
  </si>
  <si>
    <t>D-0100</t>
  </si>
  <si>
    <t>HEENA ELECTRICALES</t>
  </si>
  <si>
    <t>D-0101</t>
  </si>
  <si>
    <t>HEENA TRADING CO</t>
  </si>
  <si>
    <t>D-0102</t>
  </si>
  <si>
    <t>HINDUSTAN TRADERS (BILIMORA)</t>
  </si>
  <si>
    <t>D-0103</t>
  </si>
  <si>
    <t>HITESH ELECTRICLALS</t>
  </si>
  <si>
    <t>D-0104</t>
  </si>
  <si>
    <t>INSOLATION POWER ENTERPRISES</t>
  </si>
  <si>
    <t>D-0105</t>
  </si>
  <si>
    <t>J.R.ENTERPRISE</t>
  </si>
  <si>
    <t>D-0106</t>
  </si>
  <si>
    <t>JAGDAMBA ELECTRIC AND LIGHT HOUSE</t>
  </si>
  <si>
    <t>D-0107</t>
  </si>
  <si>
    <t>JAINEX ELECTRICALS (SARIGAM) - SALES</t>
  </si>
  <si>
    <t>D-0108</t>
  </si>
  <si>
    <t>JAINEX INDUSTRIES (SALE)</t>
  </si>
  <si>
    <t>D-0109</t>
  </si>
  <si>
    <t>JASH ELECTRICALS</t>
  </si>
  <si>
    <t>D-0110</t>
  </si>
  <si>
    <t>JAY AMBE ELECTRIC STORE (VALSAD)</t>
  </si>
  <si>
    <t>D-0111</t>
  </si>
  <si>
    <t>JAY AMBEY ENTERPRISE (DINDOLI)</t>
  </si>
  <si>
    <t>D-0112</t>
  </si>
  <si>
    <t>JAY CHAMUNDA TRADERS (KATARGAM)</t>
  </si>
  <si>
    <t>D-0113</t>
  </si>
  <si>
    <t>JAY JALARAM ELECTRICALS</t>
  </si>
  <si>
    <t>D-0114</t>
  </si>
  <si>
    <t>D-0115</t>
  </si>
  <si>
    <t>JAY MITTAL ELECTRONICS AND ELECTRICALS</t>
  </si>
  <si>
    <t>D-0116</t>
  </si>
  <si>
    <t>JAYANT DISTRIBUTORS (SALE)</t>
  </si>
  <si>
    <t>D-0118</t>
  </si>
  <si>
    <t>JHUMAR</t>
  </si>
  <si>
    <t>D-0119</t>
  </si>
  <si>
    <t>JYONA POWER</t>
  </si>
  <si>
    <t>D-0120</t>
  </si>
  <si>
    <t>JYOTI ELECTRICALS (VALSAD)</t>
  </si>
  <si>
    <t>D-0121</t>
  </si>
  <si>
    <t>JYOTI ELECTRICALS(NANA VARCHHA)</t>
  </si>
  <si>
    <t>D-0122</t>
  </si>
  <si>
    <t>K M CONSTRUCTION &amp; CO C/O.SACH ELECTRO.</t>
  </si>
  <si>
    <t>D-0123</t>
  </si>
  <si>
    <t>KAMAL ELECTRICALS.</t>
  </si>
  <si>
    <t>D-0124</t>
  </si>
  <si>
    <t>KASHISH ELECTRICALS AND ELECTRONICS</t>
  </si>
  <si>
    <t>D-0125</t>
  </si>
  <si>
    <t>KAUVERI ENTERPRISE</t>
  </si>
  <si>
    <t>D-0126</t>
  </si>
  <si>
    <t>KAYAVLON IMPEX PVT. LTD.</t>
  </si>
  <si>
    <t>D-0127</t>
  </si>
  <si>
    <t>KESHAVKANT ENTERPRISE (SALES)</t>
  </si>
  <si>
    <t>D-0128</t>
  </si>
  <si>
    <t>KEVIN ELECTRICALS</t>
  </si>
  <si>
    <t>D-0129</t>
  </si>
  <si>
    <t>KINNARY ELECTRICALS</t>
  </si>
  <si>
    <t>D-0130</t>
  </si>
  <si>
    <t>KIRAN HARDWARE AND SAFETY</t>
  </si>
  <si>
    <t>D-0131</t>
  </si>
  <si>
    <t>KRISHNA ELECTRIC (NANA VARACHHA) DHAVALBHAI</t>
  </si>
  <si>
    <t>D-0132</t>
  </si>
  <si>
    <t>KRISHNA ELECTRIC AND SWITCH BOARD (SARTHANA)</t>
  </si>
  <si>
    <t>D-0133</t>
  </si>
  <si>
    <t>KRISHNA ELECTRIC WOODEN WORKS (VARACHHA)</t>
  </si>
  <si>
    <t>D-0134</t>
  </si>
  <si>
    <t>KRISHNA ELECTRICALS ((MAROLI))</t>
  </si>
  <si>
    <t>D-0135</t>
  </si>
  <si>
    <t>KRISHNA ELECTRICALS (JATINBHAI)</t>
  </si>
  <si>
    <t>D-0136</t>
  </si>
  <si>
    <t>KRISHNA ELECTRICALS (KAPODARA UTRAN)</t>
  </si>
  <si>
    <t>D-0137</t>
  </si>
  <si>
    <t>KRISHNA ELECTRICALS AND SWITCHBOARD</t>
  </si>
  <si>
    <t>D-0138</t>
  </si>
  <si>
    <t>D-0139</t>
  </si>
  <si>
    <t>KRISHNA TRADERS - SANJAYBHAI</t>
  </si>
  <si>
    <t>D-0140</t>
  </si>
  <si>
    <t>KRUSHN AMBRO SPARE</t>
  </si>
  <si>
    <t>D-0142</t>
  </si>
  <si>
    <t>LAXMI ELECTRIC (AHWA)</t>
  </si>
  <si>
    <t>D-0143</t>
  </si>
  <si>
    <t>LAXMI ELECTRIC STORE (GOPIPURA)</t>
  </si>
  <si>
    <t>D-0144</t>
  </si>
  <si>
    <t>LAXMI TECHNOLOGY</t>
  </si>
  <si>
    <t>D-0145</t>
  </si>
  <si>
    <t>LEDURE LIGHTING LTD (SALE)</t>
  </si>
  <si>
    <t>D-0146</t>
  </si>
  <si>
    <t>LIO ELECTRICALS</t>
  </si>
  <si>
    <t>D-0147</t>
  </si>
  <si>
    <t>LOKESH ENTERPRISE</t>
  </si>
  <si>
    <t>D-0148</t>
  </si>
  <si>
    <t>LYNX SALES CORPORATION (SALE)</t>
  </si>
  <si>
    <t>D-0149</t>
  </si>
  <si>
    <t>M/S.KAILASH ENTERPRISES</t>
  </si>
  <si>
    <t>D-0150</t>
  </si>
  <si>
    <t>D-0151</t>
  </si>
  <si>
    <t>MAHAVIR LIGHT HOUSE (BHESTAN)</t>
  </si>
  <si>
    <t>D-0152</t>
  </si>
  <si>
    <t>MAHAVIR TRADERS</t>
  </si>
  <si>
    <t>D-0153</t>
  </si>
  <si>
    <t>MAHESH ELECTRIC STORES</t>
  </si>
  <si>
    <t>D-0154</t>
  </si>
  <si>
    <t>MAMTA ELECTRICALS AND HARDWARE (ADAJAN)</t>
  </si>
  <si>
    <t>D-0155</t>
  </si>
  <si>
    <t>MANDOT HOSPITALITY LLP</t>
  </si>
  <si>
    <t>D-0156</t>
  </si>
  <si>
    <t>MANSI ELECTRICALS</t>
  </si>
  <si>
    <t>D-0157</t>
  </si>
  <si>
    <t>MARSHAL ELECTRICALS</t>
  </si>
  <si>
    <t>D-0158</t>
  </si>
  <si>
    <t>MARUTI ELECTRICALS (KADODARA)</t>
  </si>
  <si>
    <t>D-0159</t>
  </si>
  <si>
    <t>MATESHWARI ELECTRICAL &amp; HARDWARE</t>
  </si>
  <si>
    <t>D-0161</t>
  </si>
  <si>
    <t>MAYUR ELECTRICALS</t>
  </si>
  <si>
    <t>D-0162</t>
  </si>
  <si>
    <t>MITESH R HAPANI</t>
  </si>
  <si>
    <t>D-0163</t>
  </si>
  <si>
    <t>MJ MEHTA PRIMARY SCHOOL</t>
  </si>
  <si>
    <t>D-0164</t>
  </si>
  <si>
    <t>MODERN ELECTRIC STORES</t>
  </si>
  <si>
    <t>D-0165</t>
  </si>
  <si>
    <t>MODULAR CONCEPTS</t>
  </si>
  <si>
    <t>D-0166</t>
  </si>
  <si>
    <t>MOHANLAL KACHARABHAI MEHTA(SALE)</t>
  </si>
  <si>
    <t>D-0167</t>
  </si>
  <si>
    <t>MOON LIGHT HOTEL</t>
  </si>
  <si>
    <t>D-0168</t>
  </si>
  <si>
    <t>MURLIDHAR ELECTRICALS</t>
  </si>
  <si>
    <t>D-0169</t>
  </si>
  <si>
    <t>N ENTERPRISE</t>
  </si>
  <si>
    <t>D-0170</t>
  </si>
  <si>
    <t>NAKODA ELECTRIC</t>
  </si>
  <si>
    <t>D-0171</t>
  </si>
  <si>
    <t>NATIONAL ELECTRICALS (NEW CITYLIGHT)</t>
  </si>
  <si>
    <t>D-0172</t>
  </si>
  <si>
    <t>NEW INDIA ELECTRICALS (NEW A/C)</t>
  </si>
  <si>
    <t>D-0173</t>
  </si>
  <si>
    <t>NEW MAHALAXMI ELECTRICALS</t>
  </si>
  <si>
    <t>D-0174</t>
  </si>
  <si>
    <t>D-0175</t>
  </si>
  <si>
    <t>NIRMAL DIAGNOSTIC PVT LTD</t>
  </si>
  <si>
    <t>D-0176</t>
  </si>
  <si>
    <t>NIRMAL ELECTRICALS</t>
  </si>
  <si>
    <t>D-0177</t>
  </si>
  <si>
    <t>NIRMAL HOSPITAL PRIVATE LIMITED</t>
  </si>
  <si>
    <t>D-0178</t>
  </si>
  <si>
    <t>NIRVA ELECTRIC &amp; LIGHT HOUSE</t>
  </si>
  <si>
    <t>D-0179</t>
  </si>
  <si>
    <t>NP DARUWALA AND SONS</t>
  </si>
  <si>
    <t>D-0180</t>
  </si>
  <si>
    <t>OM ELECTRICALS (KATARGAM)</t>
  </si>
  <si>
    <t>D-0181</t>
  </si>
  <si>
    <t>OPUS LIFESTYLE LLP</t>
  </si>
  <si>
    <t>D-0182</t>
  </si>
  <si>
    <t>ORANGE ELECTRIC SALES AND SERVICE - BARDOLI</t>
  </si>
  <si>
    <t>D-0183</t>
  </si>
  <si>
    <t>PARAS ELECTRICAL SALES AND SERVICE (BHATAR)</t>
  </si>
  <si>
    <t>D-0184</t>
  </si>
  <si>
    <t>PARESH ELECTRICALS</t>
  </si>
  <si>
    <t>D-0185</t>
  </si>
  <si>
    <t>PATEL ELECTRIC AND HOME APPLIANCE</t>
  </si>
  <si>
    <t>D-0186</t>
  </si>
  <si>
    <t>PATEL ELECTRICAL</t>
  </si>
  <si>
    <t>D-0187</t>
  </si>
  <si>
    <t>PATEL ELECTRICALS</t>
  </si>
  <si>
    <t>D-0189</t>
  </si>
  <si>
    <t>PAVAN ELECTRICALS</t>
  </si>
  <si>
    <t>D-0190</t>
  </si>
  <si>
    <t>PAVANPUTRA MARKETING</t>
  </si>
  <si>
    <t>D-0191</t>
  </si>
  <si>
    <t>PINKAL SHAH (BARDOLI)</t>
  </si>
  <si>
    <t>D-0192</t>
  </si>
  <si>
    <t>PINKESHBHAI RANA (HDFC BANK)</t>
  </si>
  <si>
    <t>D-0193</t>
  </si>
  <si>
    <t>POLICE</t>
  </si>
  <si>
    <t>D-0194</t>
  </si>
  <si>
    <t>PREMAL ELECTRICALS</t>
  </si>
  <si>
    <t>D-0195</t>
  </si>
  <si>
    <t>PRINCE ELECTRIC (L.H.ROAD)</t>
  </si>
  <si>
    <t>D-0196</t>
  </si>
  <si>
    <t>PRITI ELECTRICALS.</t>
  </si>
  <si>
    <t>D-0197</t>
  </si>
  <si>
    <t>D-0198</t>
  </si>
  <si>
    <t>R N NAIK HIGH SCHOOL</t>
  </si>
  <si>
    <t>D-0199</t>
  </si>
  <si>
    <t>R.K. ELECTRIC</t>
  </si>
  <si>
    <t>D-0200</t>
  </si>
  <si>
    <t>D-0201</t>
  </si>
  <si>
    <t>RAJ GREEN INFRALINK LLP</t>
  </si>
  <si>
    <t>D-0202</t>
  </si>
  <si>
    <t>RAJ METALS</t>
  </si>
  <si>
    <t>D-0203</t>
  </si>
  <si>
    <t>D-0204</t>
  </si>
  <si>
    <t>RAJKAMAL ELECTRICALS (KOTSAFIL ROAD)</t>
  </si>
  <si>
    <t>D-0205</t>
  </si>
  <si>
    <t>RAMAA BUILDCON</t>
  </si>
  <si>
    <t>D-0206</t>
  </si>
  <si>
    <t>RAMANLAL K PATEL</t>
  </si>
  <si>
    <t>D-0207</t>
  </si>
  <si>
    <t>RAMDEV SALES AGENCY</t>
  </si>
  <si>
    <t>D-0208</t>
  </si>
  <si>
    <t>D-0209</t>
  </si>
  <si>
    <t>ROYAL ZENITH PRINTS PVT. LTD.(NEW)</t>
  </si>
  <si>
    <t>D-0210</t>
  </si>
  <si>
    <t>RUDRA LIGHTS (KAMREJ)</t>
  </si>
  <si>
    <t>D-0211</t>
  </si>
  <si>
    <t>RUDRAKSH ELECTRICALS</t>
  </si>
  <si>
    <t>D-0212</t>
  </si>
  <si>
    <t>S K FAN PARTS AND ELECTRICAL</t>
  </si>
  <si>
    <t>D-0213</t>
  </si>
  <si>
    <t>S R SALES (DINDOLI)</t>
  </si>
  <si>
    <t>D-0214</t>
  </si>
  <si>
    <t>S.G.TRADERS</t>
  </si>
  <si>
    <t>D-0215</t>
  </si>
  <si>
    <t>S.K.INDUSTRIES (SALE)</t>
  </si>
  <si>
    <t>D-0216</t>
  </si>
  <si>
    <t>S.T.LOKHANDWALA (SALE)</t>
  </si>
  <si>
    <t>D-0217</t>
  </si>
  <si>
    <t>SACH ASSOCIATES</t>
  </si>
  <si>
    <t>D-0218</t>
  </si>
  <si>
    <t>SACH ELECTRO-MECH PVT. LTD.</t>
  </si>
  <si>
    <t>D-0219</t>
  </si>
  <si>
    <t>SAGAR ELECTRICALS AND FILTER HOUSE (MOTA VARACHHA)</t>
  </si>
  <si>
    <t>D-0220</t>
  </si>
  <si>
    <t>SAI ELECTRIC(VARCHHA)</t>
  </si>
  <si>
    <t>D-0221</t>
  </si>
  <si>
    <t>SANJAY &amp; CO.</t>
  </si>
  <si>
    <t>D-0222</t>
  </si>
  <si>
    <t>SANJAY ELECTRICALS (SACHIN)</t>
  </si>
  <si>
    <t>D-0223</t>
  </si>
  <si>
    <t>D-0224</t>
  </si>
  <si>
    <t>SANTKRUPA ELECTRIC &amp; FILTER HOUSE</t>
  </si>
  <si>
    <t>D-0225</t>
  </si>
  <si>
    <t>SATYAM SPARE PARTS</t>
  </si>
  <si>
    <t>D-0226</t>
  </si>
  <si>
    <t>SHAH BROTHERS (SALES)</t>
  </si>
  <si>
    <t>D-0227</t>
  </si>
  <si>
    <t>D-0228</t>
  </si>
  <si>
    <t>SHIDHDHI EMBROIDERY SPARE</t>
  </si>
  <si>
    <t>D-0229</t>
  </si>
  <si>
    <t>SHINING STARS CHILD DEVELOPMENT CENTRE</t>
  </si>
  <si>
    <t>D-0230</t>
  </si>
  <si>
    <t>SHITAL MARKETING (SALE)</t>
  </si>
  <si>
    <t>D-0231</t>
  </si>
  <si>
    <t>SHIV SHAKTI ELECTRIC &amp; SWITCHGEARS</t>
  </si>
  <si>
    <t>D-0233</t>
  </si>
  <si>
    <t>SHIVAM ELECTRICALS (UDHNA)</t>
  </si>
  <si>
    <t>D-0234</t>
  </si>
  <si>
    <t>SHREE AAIJI ELECTRICALS</t>
  </si>
  <si>
    <t>D-0235</t>
  </si>
  <si>
    <t>SHREE AMBE BHERAW TRADERS (SACHIN)</t>
  </si>
  <si>
    <t>D-0236</t>
  </si>
  <si>
    <t>SHREE ARBUDA WOOD PLY</t>
  </si>
  <si>
    <t>D-0237</t>
  </si>
  <si>
    <t>SHREE BILESWAR ELECTRIC (PUNA GAM)</t>
  </si>
  <si>
    <t>D-0238</t>
  </si>
  <si>
    <t>SHREE GAYATRI ELECTRICALS</t>
  </si>
  <si>
    <t>D-0239</t>
  </si>
  <si>
    <t>SHREE GELKRUPA ELECTRICALS (PUNA KUMBHARIYA)</t>
  </si>
  <si>
    <t>D-0240</t>
  </si>
  <si>
    <t>SHREE KHETESHWAR ELECTRICALS</t>
  </si>
  <si>
    <t>D-0241</t>
  </si>
  <si>
    <t>SHREE KHODIYAR ELECTRIC(JAYDEEPBHAI) NEW</t>
  </si>
  <si>
    <t>D-0242</t>
  </si>
  <si>
    <t>SHREE KHODIYAR ELECTRIC(MANISH BHAI)</t>
  </si>
  <si>
    <t>D-0243</t>
  </si>
  <si>
    <t>SHREE LAXMI ELECTRICAL AND COLORS (AHWA)</t>
  </si>
  <si>
    <t>D-0244</t>
  </si>
  <si>
    <t>SHREE LAXMI ENTERPRISE (KARANBHAI)</t>
  </si>
  <si>
    <t>D-0245</t>
  </si>
  <si>
    <t>SHREE MAHAKALI ELECTRICALS</t>
  </si>
  <si>
    <t>D-0246</t>
  </si>
  <si>
    <t>SHREE RADHE ELECTRIC &amp; SPARE PARTS</t>
  </si>
  <si>
    <t>D-0247</t>
  </si>
  <si>
    <t>SHREE RAJ ELECTRICALS (JAYBHAI)</t>
  </si>
  <si>
    <t>D-0248</t>
  </si>
  <si>
    <t>SHREE RAJESHWAR HARDWARE &amp; ELECTRICAL</t>
  </si>
  <si>
    <t>D-0249</t>
  </si>
  <si>
    <t>D-0250</t>
  </si>
  <si>
    <t>SHREE RAM EMBRO PARTS (VARCHHA)</t>
  </si>
  <si>
    <t>D-0251</t>
  </si>
  <si>
    <t>SHREE RANG ELECTRICALS(NAVSARI)</t>
  </si>
  <si>
    <t>D-0252</t>
  </si>
  <si>
    <t>SHREE SAHAJANAND BORING AND PIPE (SACHIN)</t>
  </si>
  <si>
    <t>D-0253</t>
  </si>
  <si>
    <t>SHREE SAI ELE. (L.P.SAWANI-RAVIBHAI)</t>
  </si>
  <si>
    <t>D-0254</t>
  </si>
  <si>
    <t>SHREE SAI ELECTRICALS(SAYAN - ISHWARBHAI) NEW</t>
  </si>
  <si>
    <t>D-0255</t>
  </si>
  <si>
    <t>SHREE SAINATH ELECTRICALS AND MUSIC CENTRE</t>
  </si>
  <si>
    <t>D-0257</t>
  </si>
  <si>
    <t>SHREE UMIYA ELECTRICS (PARVAT PATIA)</t>
  </si>
  <si>
    <t>D-0258</t>
  </si>
  <si>
    <t>SHREE UTKARSH SALES &amp; SERVICE</t>
  </si>
  <si>
    <t>D-0259</t>
  </si>
  <si>
    <t>SHREEJI ELECTRICALS (SACHIN)</t>
  </si>
  <si>
    <t>D-0260</t>
  </si>
  <si>
    <t>SHREENATHJI ELECTRIC STORE(SACHIN)</t>
  </si>
  <si>
    <t>D-0261</t>
  </si>
  <si>
    <t>D-0262</t>
  </si>
  <si>
    <t>SHUBH LAXMI ELECTRICS</t>
  </si>
  <si>
    <t>D-0263</t>
  </si>
  <si>
    <t>SHWETAYAN ELECTRICS &amp; SWITCH BOARD</t>
  </si>
  <si>
    <t>D-0264</t>
  </si>
  <si>
    <t>SNEHA AGENCIES</t>
  </si>
  <si>
    <t>D-0265</t>
  </si>
  <si>
    <t>SOLANKI PLYWOOD</t>
  </si>
  <si>
    <t>D-0266</t>
  </si>
  <si>
    <t>STRAWBERRY HILLS</t>
  </si>
  <si>
    <t>D-0267</t>
  </si>
  <si>
    <t>SUPER ELECTRICALS (GIRDHARBHAI)</t>
  </si>
  <si>
    <t>D-0268</t>
  </si>
  <si>
    <t>SUPER ENGINEERING WORKS</t>
  </si>
  <si>
    <t>D-0269</t>
  </si>
  <si>
    <t>SURAT NATIONAL PRIMARY SCHOOL</t>
  </si>
  <si>
    <t>D-0270</t>
  </si>
  <si>
    <t>SWAPNA ENTERPRISE</t>
  </si>
  <si>
    <t>D-0271</t>
  </si>
  <si>
    <t>SWASTIK ELECTRIC WORKS (SACHIN)</t>
  </si>
  <si>
    <t>D-0272</t>
  </si>
  <si>
    <t>T - AXIS ROADWAYS</t>
  </si>
  <si>
    <t>D-0273</t>
  </si>
  <si>
    <t>T - BAHADUR TRANS.</t>
  </si>
  <si>
    <t>D-0274</t>
  </si>
  <si>
    <t>T - HANS ROADWAYS</t>
  </si>
  <si>
    <t>D-0275</t>
  </si>
  <si>
    <t>T - NEW CHOUDHARY ROADLINES</t>
  </si>
  <si>
    <t>D-0276</t>
  </si>
  <si>
    <t>T - OM RAVI TRANSPORT</t>
  </si>
  <si>
    <t>D-0277</t>
  </si>
  <si>
    <t>T - RAMBHAI TEMPO</t>
  </si>
  <si>
    <t>D-0278</t>
  </si>
  <si>
    <t>T - S.K.ROADWAYS</t>
  </si>
  <si>
    <t>D-0279</t>
  </si>
  <si>
    <t>T - SAI DEV ROADLINES</t>
  </si>
  <si>
    <t>D-0280</t>
  </si>
  <si>
    <t>T - SHABIRBHAI TRANS</t>
  </si>
  <si>
    <t>D-0281</t>
  </si>
  <si>
    <t>T - SHUBHLAXMI TRANSPORT SERVICE</t>
  </si>
  <si>
    <t>D-0282</t>
  </si>
  <si>
    <t>T - SURYAVANSHI LOGISTIC</t>
  </si>
  <si>
    <t>D-0283</t>
  </si>
  <si>
    <t>T - VIRAL TRANPORT(RAJUBHAI)</t>
  </si>
  <si>
    <t>D-0284</t>
  </si>
  <si>
    <t>TAPI INFRA LLP</t>
  </si>
  <si>
    <t>D-0285</t>
  </si>
  <si>
    <t>TARANJOT CERAMICS PVT LTD</t>
  </si>
  <si>
    <t>D-0286</t>
  </si>
  <si>
    <t>TARANJYOT RESOURCES PRIVATE LIMITED</t>
  </si>
  <si>
    <t>D-0287</t>
  </si>
  <si>
    <t>U.K.ENTERPRISE</t>
  </si>
  <si>
    <t>D-0288</t>
  </si>
  <si>
    <t>UDHANA ENGLISH MEDIUM SCHOOL</t>
  </si>
  <si>
    <t>D-0289</t>
  </si>
  <si>
    <t>UMA ELECTRICALS (UM ROAD)</t>
  </si>
  <si>
    <t>D-0290</t>
  </si>
  <si>
    <t>UMA ENTERPRISE</t>
  </si>
  <si>
    <t>D-0291</t>
  </si>
  <si>
    <t>UMIYA ELECTRIC (ALTHAN)</t>
  </si>
  <si>
    <t>D-0292</t>
  </si>
  <si>
    <t>UMIYA ELECTRICALS (VYARA)</t>
  </si>
  <si>
    <t>D-0293</t>
  </si>
  <si>
    <t>D-0294</t>
  </si>
  <si>
    <t>V R MARKETING (VIP ROAD)</t>
  </si>
  <si>
    <t>D-0295</t>
  </si>
  <si>
    <t>VENUS MILLS PVT LTD</t>
  </si>
  <si>
    <t>D-0296</t>
  </si>
  <si>
    <t>VICKY ELECTRICALS (BHARUCH)</t>
  </si>
  <si>
    <t>D-0297</t>
  </si>
  <si>
    <t>VIJAY ELECTRIC</t>
  </si>
  <si>
    <t>D-0298</t>
  </si>
  <si>
    <t>VIJAY ELECTRICALS (SACHIN)</t>
  </si>
  <si>
    <t>D-0299</t>
  </si>
  <si>
    <t>VIJAYLAXMI ELECTRICALS</t>
  </si>
  <si>
    <t>D-0300</t>
  </si>
  <si>
    <t>D-0301</t>
  </si>
  <si>
    <t>VISHAL ELECTRICAL (VESU) TAX (NEW)</t>
  </si>
  <si>
    <t>D-0302</t>
  </si>
  <si>
    <t>VISHAL ELECTRICALS (GOPIPURA)</t>
  </si>
  <si>
    <t>D-0303</t>
  </si>
  <si>
    <t>VISHAL MARKETING (DINDOLI)</t>
  </si>
  <si>
    <t>D-0304</t>
  </si>
  <si>
    <t>D-0305</t>
  </si>
  <si>
    <t>VISHWKARMA AGENCY</t>
  </si>
  <si>
    <t>D-0306</t>
  </si>
  <si>
    <t>VTP INFRA TECH PRIVATE LIMITED</t>
  </si>
  <si>
    <t>D-0307</t>
  </si>
  <si>
    <t>YASH ELECTRIC WORKS (SACHIN)</t>
  </si>
  <si>
    <t>D-0308</t>
  </si>
  <si>
    <t>YASH ELECTRO INFRA STRUCTURE</t>
  </si>
  <si>
    <t>D-0309</t>
  </si>
  <si>
    <t>D-0310</t>
  </si>
  <si>
    <t>ZENITH ENTERPRISE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</si>
</sst>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8">
    <xf numFmtId="0" fontId="0" fillId="0" borderId="0" xfId="0"/>
    <xf numFmtId="0" fontId="16" fillId="0" borderId="10" xfId="0" applyFont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0" fontId="16" fillId="0" borderId="0" xfId="0" applyFont="1" applyBorder="1" applyAlignment="1">
      <alignment horizontal="center" vertical="center" wrapText="1"/>
    </xf>
    <xf numFmtId="14" fontId="0" fillId="0" borderId="0" xfId="0" applyNumberFormat="1" applyBorder="1"/>
    <xf numFmtId="0" fontId="0" fillId="0" borderId="0" xfId="0" applyBorder="1" applyAlignment="1">
      <alignment wrapText="1"/>
    </xf>
    <xf numFmtId="0" fontId="0" fillId="0" borderId="0" xfId="0" applyBorder="1"/>
    <xf numFmtId="2" fontId="0" fillId="0" borderId="0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168"/>
  <sheetViews>
    <sheetView showGridLines="0" tabSelected="1" workbookViewId="0">
      <selection activeCell="E27" sqref="E27"/>
    </sheetView>
  </sheetViews>
  <sheetFormatPr defaultRowHeight="15"/>
  <cols>
    <col min="1" max="1" width="16.5703125" customWidth="1"/>
    <col min="3" max="3" width="41.28515625" bestFit="1" customWidth="1"/>
    <col min="4" max="5" width="16.5703125" customWidth="1"/>
    <col min="6" max="6" width="41.28515625" bestFit="1" customWidth="1"/>
    <col min="7" max="7" width="20.5703125" bestFit="1" customWidth="1"/>
    <col min="8" max="8" width="18.7109375" customWidth="1"/>
    <col min="9" max="9" width="41.42578125" bestFit="1" customWidth="1"/>
    <col min="10" max="10" width="10.28515625" bestFit="1" customWidth="1"/>
    <col min="11" max="11" width="7.28515625" bestFit="1" customWidth="1"/>
    <col min="12" max="12" width="13.42578125" bestFit="1" customWidth="1"/>
    <col min="13" max="13" width="10.140625" bestFit="1" customWidth="1"/>
    <col min="14" max="14" width="11.140625" bestFit="1" customWidth="1"/>
    <col min="15" max="15" width="19.85546875" customWidth="1"/>
    <col min="16" max="16" width="19.5703125" customWidth="1"/>
    <col min="17" max="17" width="10.140625" bestFit="1" customWidth="1"/>
  </cols>
  <sheetData>
    <row r="1" spans="1:17">
      <c r="A1" s="3" t="s">
        <v>6</v>
      </c>
      <c r="B1" s="3" t="s">
        <v>16</v>
      </c>
      <c r="C1" s="3" t="s">
        <v>8</v>
      </c>
      <c r="D1" s="3" t="s">
        <v>7</v>
      </c>
      <c r="E1" s="3" t="s">
        <v>15</v>
      </c>
      <c r="F1" s="3" t="s">
        <v>9</v>
      </c>
      <c r="G1" s="3" t="s">
        <v>10</v>
      </c>
      <c r="H1" s="3" t="s">
        <v>4</v>
      </c>
      <c r="I1" s="3" t="s">
        <v>0</v>
      </c>
      <c r="J1" s="3" t="s">
        <v>11</v>
      </c>
      <c r="K1" s="3" t="s">
        <v>1</v>
      </c>
      <c r="L1" s="3" t="s">
        <v>2</v>
      </c>
      <c r="M1" s="3" t="s">
        <v>3</v>
      </c>
      <c r="N1" s="3" t="s">
        <v>12</v>
      </c>
      <c r="O1" s="3" t="s">
        <v>13</v>
      </c>
      <c r="P1" s="3" t="s">
        <v>14</v>
      </c>
      <c r="Q1" s="3" t="s">
        <v>5</v>
      </c>
    </row>
    <row r="2" spans="1:17">
      <c r="A2" s="4">
        <v>45443</v>
      </c>
      <c r="B2" s="5" t="s">
        <v>305</v>
      </c>
      <c r="C2" s="6" t="s">
        <v>25</v>
      </c>
      <c r="D2" s="6" t="s">
        <v>304</v>
      </c>
      <c r="E2" s="6"/>
      <c r="F2" s="6">
        <v>25</v>
      </c>
      <c r="G2" s="6" t="s">
        <v>107</v>
      </c>
      <c r="H2" s="6">
        <v>18</v>
      </c>
      <c r="I2" s="6" t="s">
        <v>108</v>
      </c>
      <c r="J2" s="6">
        <v>3</v>
      </c>
      <c r="K2" s="6">
        <v>54</v>
      </c>
      <c r="L2" s="6">
        <v>14.5</v>
      </c>
      <c r="M2" s="6">
        <v>0</v>
      </c>
      <c r="N2" s="6">
        <v>15.25</v>
      </c>
      <c r="O2" s="7">
        <f>P2/1.18</f>
        <v>117.39830508474577</v>
      </c>
      <c r="P2" s="6">
        <v>138.53</v>
      </c>
      <c r="Q2" s="6"/>
    </row>
    <row r="3" spans="1:17">
      <c r="A3" s="4">
        <v>45383</v>
      </c>
      <c r="B3" s="5" t="s">
        <v>305</v>
      </c>
      <c r="C3" s="6" t="s">
        <v>25</v>
      </c>
      <c r="D3" s="6" t="s">
        <v>304</v>
      </c>
      <c r="E3" s="6"/>
      <c r="F3" s="6">
        <v>25</v>
      </c>
      <c r="G3" s="6" t="s">
        <v>48</v>
      </c>
      <c r="H3" s="6">
        <v>18</v>
      </c>
      <c r="I3" s="6" t="s">
        <v>49</v>
      </c>
      <c r="J3" s="6">
        <v>1</v>
      </c>
      <c r="K3" s="6">
        <v>156</v>
      </c>
      <c r="L3" s="6">
        <v>14.5</v>
      </c>
      <c r="M3" s="6">
        <v>0</v>
      </c>
      <c r="N3" s="6">
        <v>15.25</v>
      </c>
      <c r="O3" s="7">
        <f t="shared" ref="O3:O66" si="0">P3/1.18</f>
        <v>113.03389830508475</v>
      </c>
      <c r="P3" s="6">
        <v>133.38</v>
      </c>
      <c r="Q3" s="6"/>
    </row>
    <row r="4" spans="1:17">
      <c r="A4" s="4">
        <v>45383</v>
      </c>
      <c r="B4" s="5" t="s">
        <v>305</v>
      </c>
      <c r="C4" s="6" t="s">
        <v>25</v>
      </c>
      <c r="D4" s="6" t="s">
        <v>304</v>
      </c>
      <c r="E4" s="6"/>
      <c r="F4" s="6">
        <v>25</v>
      </c>
      <c r="G4" s="6" t="s">
        <v>50</v>
      </c>
      <c r="H4" s="6">
        <v>18</v>
      </c>
      <c r="I4" s="6" t="s">
        <v>51</v>
      </c>
      <c r="J4" s="6">
        <v>1</v>
      </c>
      <c r="K4" s="6">
        <v>325</v>
      </c>
      <c r="L4" s="6">
        <v>14.5</v>
      </c>
      <c r="M4" s="6">
        <v>0</v>
      </c>
      <c r="N4" s="6">
        <v>15.25</v>
      </c>
      <c r="O4" s="7">
        <f t="shared" si="0"/>
        <v>235.50847457627117</v>
      </c>
      <c r="P4" s="6">
        <v>277.89999999999998</v>
      </c>
      <c r="Q4" s="6"/>
    </row>
    <row r="5" spans="1:17">
      <c r="A5" s="4">
        <v>45383</v>
      </c>
      <c r="B5" s="5" t="s">
        <v>305</v>
      </c>
      <c r="C5" s="6" t="s">
        <v>25</v>
      </c>
      <c r="D5" s="6" t="s">
        <v>304</v>
      </c>
      <c r="E5" s="6"/>
      <c r="F5" s="6">
        <v>25</v>
      </c>
      <c r="G5" s="6" t="s">
        <v>44</v>
      </c>
      <c r="H5" s="6">
        <v>18</v>
      </c>
      <c r="I5" s="6" t="s">
        <v>45</v>
      </c>
      <c r="J5" s="6">
        <v>3</v>
      </c>
      <c r="K5" s="6">
        <v>55.5</v>
      </c>
      <c r="L5" s="6">
        <v>14.5</v>
      </c>
      <c r="M5" s="6">
        <v>0</v>
      </c>
      <c r="N5" s="6">
        <v>15.25</v>
      </c>
      <c r="O5" s="7">
        <f t="shared" si="0"/>
        <v>120.65254237288137</v>
      </c>
      <c r="P5" s="6">
        <v>142.37</v>
      </c>
      <c r="Q5" s="6"/>
    </row>
    <row r="6" spans="1:17">
      <c r="A6" s="4">
        <v>45383</v>
      </c>
      <c r="B6" s="5" t="s">
        <v>305</v>
      </c>
      <c r="C6" s="6" t="s">
        <v>25</v>
      </c>
      <c r="D6" s="6" t="s">
        <v>304</v>
      </c>
      <c r="E6" s="6"/>
      <c r="F6" s="6">
        <v>25</v>
      </c>
      <c r="G6" s="6" t="s">
        <v>109</v>
      </c>
      <c r="H6" s="6">
        <v>18</v>
      </c>
      <c r="I6" s="6" t="s">
        <v>110</v>
      </c>
      <c r="J6" s="6">
        <v>6</v>
      </c>
      <c r="K6" s="6">
        <v>27</v>
      </c>
      <c r="L6" s="6">
        <v>14.5</v>
      </c>
      <c r="M6" s="6">
        <v>0</v>
      </c>
      <c r="N6" s="6">
        <v>15.25</v>
      </c>
      <c r="O6" s="7">
        <f t="shared" si="0"/>
        <v>117.39830508474577</v>
      </c>
      <c r="P6" s="6">
        <v>138.53</v>
      </c>
      <c r="Q6" s="6"/>
    </row>
    <row r="7" spans="1:17">
      <c r="A7" s="4">
        <v>45383</v>
      </c>
      <c r="B7" s="5" t="s">
        <v>305</v>
      </c>
      <c r="C7" s="6" t="s">
        <v>25</v>
      </c>
      <c r="D7" s="6" t="s">
        <v>304</v>
      </c>
      <c r="E7" s="6"/>
      <c r="F7" s="6">
        <v>25</v>
      </c>
      <c r="G7" s="6" t="s">
        <v>46</v>
      </c>
      <c r="H7" s="6">
        <v>18</v>
      </c>
      <c r="I7" s="6" t="s">
        <v>47</v>
      </c>
      <c r="J7" s="6">
        <v>2</v>
      </c>
      <c r="K7" s="6">
        <v>195</v>
      </c>
      <c r="L7" s="6">
        <v>14.5</v>
      </c>
      <c r="M7" s="6">
        <v>0</v>
      </c>
      <c r="N7" s="6">
        <v>15.25</v>
      </c>
      <c r="O7" s="7">
        <f t="shared" si="0"/>
        <v>282.59322033898303</v>
      </c>
      <c r="P7" s="6">
        <v>333.46</v>
      </c>
      <c r="Q7" s="6"/>
    </row>
    <row r="8" spans="1:17">
      <c r="A8" s="4">
        <v>45383</v>
      </c>
      <c r="B8" s="5" t="s">
        <v>306</v>
      </c>
      <c r="C8" s="6" t="s">
        <v>111</v>
      </c>
      <c r="D8" s="6" t="s">
        <v>304</v>
      </c>
      <c r="E8" s="6"/>
      <c r="F8" s="6">
        <v>26</v>
      </c>
      <c r="G8" s="6" t="s">
        <v>112</v>
      </c>
      <c r="H8" s="6">
        <v>18</v>
      </c>
      <c r="I8" s="6" t="s">
        <v>113</v>
      </c>
      <c r="J8" s="6">
        <v>122</v>
      </c>
      <c r="K8" s="6">
        <v>67.5</v>
      </c>
      <c r="L8" s="6">
        <v>17</v>
      </c>
      <c r="M8" s="6">
        <v>0</v>
      </c>
      <c r="N8" s="6">
        <v>15.25</v>
      </c>
      <c r="O8" s="7">
        <f t="shared" si="0"/>
        <v>5792.6949152542375</v>
      </c>
      <c r="P8" s="6">
        <v>6835.38</v>
      </c>
      <c r="Q8" s="6"/>
    </row>
    <row r="9" spans="1:17">
      <c r="A9" s="4">
        <v>45383</v>
      </c>
      <c r="B9" s="5" t="s">
        <v>306</v>
      </c>
      <c r="C9" s="6" t="s">
        <v>111</v>
      </c>
      <c r="D9" s="6" t="s">
        <v>304</v>
      </c>
      <c r="E9" s="6"/>
      <c r="F9" s="6">
        <v>26</v>
      </c>
      <c r="G9" s="6" t="s">
        <v>30</v>
      </c>
      <c r="H9" s="6">
        <v>18</v>
      </c>
      <c r="I9" s="6" t="s">
        <v>31</v>
      </c>
      <c r="J9" s="6">
        <v>120</v>
      </c>
      <c r="K9" s="6">
        <v>23.5</v>
      </c>
      <c r="L9" s="6">
        <v>17</v>
      </c>
      <c r="M9" s="6">
        <v>0</v>
      </c>
      <c r="N9" s="6">
        <v>15.25</v>
      </c>
      <c r="O9" s="7">
        <f t="shared" si="0"/>
        <v>1983.6610169491526</v>
      </c>
      <c r="P9" s="6">
        <v>2340.7199999999998</v>
      </c>
      <c r="Q9" s="6"/>
    </row>
    <row r="10" spans="1:17">
      <c r="A10" s="4">
        <v>45383</v>
      </c>
      <c r="B10" s="5" t="s">
        <v>306</v>
      </c>
      <c r="C10" s="6" t="s">
        <v>111</v>
      </c>
      <c r="D10" s="6" t="s">
        <v>304</v>
      </c>
      <c r="E10" s="6"/>
      <c r="F10" s="6">
        <v>26</v>
      </c>
      <c r="G10" s="6" t="s">
        <v>114</v>
      </c>
      <c r="H10" s="6">
        <v>18</v>
      </c>
      <c r="I10" s="6" t="s">
        <v>115</v>
      </c>
      <c r="J10" s="6">
        <v>20</v>
      </c>
      <c r="K10" s="6">
        <v>189</v>
      </c>
      <c r="L10" s="6">
        <v>17</v>
      </c>
      <c r="M10" s="6">
        <v>0</v>
      </c>
      <c r="N10" s="6">
        <v>15.25</v>
      </c>
      <c r="O10" s="7">
        <f t="shared" si="0"/>
        <v>2658.9576271186443</v>
      </c>
      <c r="P10" s="6">
        <v>3137.57</v>
      </c>
      <c r="Q10" s="6"/>
    </row>
    <row r="11" spans="1:17">
      <c r="A11" s="4">
        <v>45383</v>
      </c>
      <c r="B11" s="5" t="s">
        <v>306</v>
      </c>
      <c r="C11" s="6" t="s">
        <v>111</v>
      </c>
      <c r="D11" s="6" t="s">
        <v>304</v>
      </c>
      <c r="E11" s="6"/>
      <c r="F11" s="6">
        <v>26</v>
      </c>
      <c r="G11" s="6" t="s">
        <v>116</v>
      </c>
      <c r="H11" s="6">
        <v>18</v>
      </c>
      <c r="I11" s="6" t="s">
        <v>117</v>
      </c>
      <c r="J11" s="6">
        <v>58</v>
      </c>
      <c r="K11" s="6">
        <v>45</v>
      </c>
      <c r="L11" s="6">
        <v>17</v>
      </c>
      <c r="M11" s="6">
        <v>0</v>
      </c>
      <c r="N11" s="6">
        <v>15.25</v>
      </c>
      <c r="O11" s="7">
        <f t="shared" si="0"/>
        <v>1835.9322033898306</v>
      </c>
      <c r="P11" s="6">
        <v>2166.4</v>
      </c>
      <c r="Q11" s="6"/>
    </row>
    <row r="12" spans="1:17">
      <c r="A12" s="4">
        <v>45383</v>
      </c>
      <c r="B12" s="5" t="s">
        <v>306</v>
      </c>
      <c r="C12" s="6" t="s">
        <v>111</v>
      </c>
      <c r="D12" s="6" t="s">
        <v>304</v>
      </c>
      <c r="E12" s="6"/>
      <c r="F12" s="6">
        <v>26</v>
      </c>
      <c r="G12" s="6" t="s">
        <v>118</v>
      </c>
      <c r="H12" s="6">
        <v>18</v>
      </c>
      <c r="I12" s="6" t="s">
        <v>119</v>
      </c>
      <c r="J12" s="6">
        <v>50</v>
      </c>
      <c r="K12" s="6">
        <v>35.75</v>
      </c>
      <c r="L12" s="6">
        <v>17</v>
      </c>
      <c r="M12" s="6">
        <v>0</v>
      </c>
      <c r="N12" s="6">
        <v>15.25</v>
      </c>
      <c r="O12" s="7">
        <f t="shared" si="0"/>
        <v>1257.3644067796611</v>
      </c>
      <c r="P12" s="6">
        <v>1483.69</v>
      </c>
      <c r="Q12" s="6"/>
    </row>
    <row r="13" spans="1:17">
      <c r="A13" s="4">
        <v>45383</v>
      </c>
      <c r="B13" s="5" t="s">
        <v>306</v>
      </c>
      <c r="C13" s="6" t="s">
        <v>111</v>
      </c>
      <c r="D13" s="6" t="s">
        <v>304</v>
      </c>
      <c r="E13" s="6"/>
      <c r="F13" s="6">
        <v>26</v>
      </c>
      <c r="G13" s="6" t="s">
        <v>120</v>
      </c>
      <c r="H13" s="6">
        <v>18</v>
      </c>
      <c r="I13" s="6" t="s">
        <v>121</v>
      </c>
      <c r="J13" s="6">
        <v>10</v>
      </c>
      <c r="K13" s="6">
        <v>96</v>
      </c>
      <c r="L13" s="6">
        <v>17</v>
      </c>
      <c r="M13" s="6">
        <v>0</v>
      </c>
      <c r="N13" s="6">
        <v>15.25</v>
      </c>
      <c r="O13" s="7">
        <f t="shared" si="0"/>
        <v>675.2966101694916</v>
      </c>
      <c r="P13" s="6">
        <v>796.85</v>
      </c>
      <c r="Q13" s="6"/>
    </row>
    <row r="14" spans="1:17">
      <c r="A14" s="4">
        <v>45383</v>
      </c>
      <c r="B14" s="5" t="s">
        <v>306</v>
      </c>
      <c r="C14" s="6" t="s">
        <v>111</v>
      </c>
      <c r="D14" s="6" t="s">
        <v>304</v>
      </c>
      <c r="E14" s="6"/>
      <c r="F14" s="6">
        <v>26</v>
      </c>
      <c r="G14" s="6" t="s">
        <v>122</v>
      </c>
      <c r="H14" s="6">
        <v>18</v>
      </c>
      <c r="I14" s="6" t="s">
        <v>123</v>
      </c>
      <c r="J14" s="6">
        <v>100</v>
      </c>
      <c r="K14" s="6">
        <v>24.25</v>
      </c>
      <c r="L14" s="6">
        <v>17</v>
      </c>
      <c r="M14" s="6">
        <v>0</v>
      </c>
      <c r="N14" s="6">
        <v>15.25</v>
      </c>
      <c r="O14" s="7">
        <f t="shared" si="0"/>
        <v>1705.8050847457628</v>
      </c>
      <c r="P14" s="6">
        <v>2012.85</v>
      </c>
      <c r="Q14" s="6"/>
    </row>
    <row r="15" spans="1:17">
      <c r="A15" s="4">
        <v>45383</v>
      </c>
      <c r="B15" s="5" t="s">
        <v>306</v>
      </c>
      <c r="C15" s="6" t="s">
        <v>111</v>
      </c>
      <c r="D15" s="6" t="s">
        <v>304</v>
      </c>
      <c r="E15" s="6"/>
      <c r="F15" s="6">
        <v>26</v>
      </c>
      <c r="G15" s="6" t="s">
        <v>124</v>
      </c>
      <c r="H15" s="6">
        <v>18</v>
      </c>
      <c r="I15" s="6" t="s">
        <v>125</v>
      </c>
      <c r="J15" s="6">
        <v>20</v>
      </c>
      <c r="K15" s="6">
        <v>145</v>
      </c>
      <c r="L15" s="6">
        <v>17</v>
      </c>
      <c r="M15" s="6">
        <v>0</v>
      </c>
      <c r="N15" s="6">
        <v>15.25</v>
      </c>
      <c r="O15" s="7">
        <f t="shared" si="0"/>
        <v>2039.9237288135596</v>
      </c>
      <c r="P15" s="6">
        <v>2407.11</v>
      </c>
      <c r="Q15" s="6"/>
    </row>
    <row r="16" spans="1:17">
      <c r="A16" s="4">
        <v>45383</v>
      </c>
      <c r="B16" s="5" t="s">
        <v>306</v>
      </c>
      <c r="C16" s="6" t="s">
        <v>111</v>
      </c>
      <c r="D16" s="6" t="s">
        <v>304</v>
      </c>
      <c r="E16" s="6"/>
      <c r="F16" s="6">
        <v>26</v>
      </c>
      <c r="G16" s="6" t="s">
        <v>126</v>
      </c>
      <c r="H16" s="6">
        <v>18</v>
      </c>
      <c r="I16" s="6" t="s">
        <v>127</v>
      </c>
      <c r="J16" s="6">
        <v>29</v>
      </c>
      <c r="K16" s="6">
        <v>47.5</v>
      </c>
      <c r="L16" s="6">
        <v>17</v>
      </c>
      <c r="M16" s="6">
        <v>0</v>
      </c>
      <c r="N16" s="6">
        <v>15.25</v>
      </c>
      <c r="O16" s="7">
        <f t="shared" si="0"/>
        <v>968.96610169491544</v>
      </c>
      <c r="P16" s="6">
        <v>1143.3800000000001</v>
      </c>
      <c r="Q16" s="6"/>
    </row>
    <row r="17" spans="1:17">
      <c r="A17" s="4">
        <v>45383</v>
      </c>
      <c r="B17" s="5" t="s">
        <v>306</v>
      </c>
      <c r="C17" s="6" t="s">
        <v>111</v>
      </c>
      <c r="D17" s="6" t="s">
        <v>304</v>
      </c>
      <c r="E17" s="6"/>
      <c r="F17" s="6">
        <v>26</v>
      </c>
      <c r="G17" s="6" t="s">
        <v>128</v>
      </c>
      <c r="H17" s="6">
        <v>18</v>
      </c>
      <c r="I17" s="6" t="s">
        <v>129</v>
      </c>
      <c r="J17" s="6">
        <v>10</v>
      </c>
      <c r="K17" s="6">
        <v>145</v>
      </c>
      <c r="L17" s="6">
        <v>17</v>
      </c>
      <c r="M17" s="6">
        <v>0</v>
      </c>
      <c r="N17" s="6">
        <v>15.25</v>
      </c>
      <c r="O17" s="7">
        <f t="shared" si="0"/>
        <v>1019.9745762711865</v>
      </c>
      <c r="P17" s="6">
        <v>1203.57</v>
      </c>
      <c r="Q17" s="6"/>
    </row>
    <row r="18" spans="1:17">
      <c r="A18" s="4">
        <v>45383</v>
      </c>
      <c r="B18" s="5" t="s">
        <v>306</v>
      </c>
      <c r="C18" s="6" t="s">
        <v>111</v>
      </c>
      <c r="D18" s="6" t="s">
        <v>304</v>
      </c>
      <c r="E18" s="6"/>
      <c r="F18" s="6">
        <v>26</v>
      </c>
      <c r="G18" s="6" t="s">
        <v>130</v>
      </c>
      <c r="H18" s="6">
        <v>18</v>
      </c>
      <c r="I18" s="6" t="s">
        <v>131</v>
      </c>
      <c r="J18" s="6">
        <v>52</v>
      </c>
      <c r="K18" s="6">
        <v>26.25</v>
      </c>
      <c r="L18" s="6">
        <v>17</v>
      </c>
      <c r="M18" s="6">
        <v>0</v>
      </c>
      <c r="N18" s="6">
        <v>15.25</v>
      </c>
      <c r="O18" s="7">
        <f t="shared" si="0"/>
        <v>960.18644067796617</v>
      </c>
      <c r="P18" s="6">
        <v>1133.02</v>
      </c>
      <c r="Q18" s="6"/>
    </row>
    <row r="19" spans="1:17">
      <c r="A19" s="4">
        <v>45383</v>
      </c>
      <c r="B19" s="5" t="s">
        <v>306</v>
      </c>
      <c r="C19" s="6" t="s">
        <v>111</v>
      </c>
      <c r="D19" s="6" t="s">
        <v>304</v>
      </c>
      <c r="E19" s="6"/>
      <c r="F19" s="6">
        <v>27</v>
      </c>
      <c r="G19" s="6" t="s">
        <v>132</v>
      </c>
      <c r="H19" s="6">
        <v>18</v>
      </c>
      <c r="I19" s="6" t="s">
        <v>133</v>
      </c>
      <c r="J19" s="6">
        <v>1000</v>
      </c>
      <c r="K19" s="6">
        <v>13</v>
      </c>
      <c r="L19" s="6">
        <v>0</v>
      </c>
      <c r="M19" s="6">
        <v>0</v>
      </c>
      <c r="N19" s="6">
        <v>15.25</v>
      </c>
      <c r="O19" s="7">
        <f t="shared" si="0"/>
        <v>11017.508474576272</v>
      </c>
      <c r="P19" s="6">
        <v>13000.66</v>
      </c>
      <c r="Q19" s="6"/>
    </row>
    <row r="20" spans="1:17">
      <c r="A20" s="4">
        <v>45383</v>
      </c>
      <c r="B20" s="5" t="s">
        <v>306</v>
      </c>
      <c r="C20" s="6" t="s">
        <v>111</v>
      </c>
      <c r="D20" s="6" t="s">
        <v>304</v>
      </c>
      <c r="E20" s="6"/>
      <c r="F20" s="6">
        <v>27</v>
      </c>
      <c r="G20" s="6" t="s">
        <v>134</v>
      </c>
      <c r="H20" s="6">
        <v>18</v>
      </c>
      <c r="I20" s="6" t="s">
        <v>135</v>
      </c>
      <c r="J20" s="6">
        <v>40</v>
      </c>
      <c r="K20" s="6">
        <v>33.5</v>
      </c>
      <c r="L20" s="6">
        <v>17</v>
      </c>
      <c r="M20" s="6">
        <v>0</v>
      </c>
      <c r="N20" s="6">
        <v>15.25</v>
      </c>
      <c r="O20" s="7">
        <f t="shared" si="0"/>
        <v>942.58474576271192</v>
      </c>
      <c r="P20" s="6">
        <v>1112.25</v>
      </c>
      <c r="Q20" s="6"/>
    </row>
    <row r="21" spans="1:17">
      <c r="A21" s="4">
        <v>45383</v>
      </c>
      <c r="B21" s="5" t="s">
        <v>306</v>
      </c>
      <c r="C21" s="6" t="s">
        <v>111</v>
      </c>
      <c r="D21" s="6" t="s">
        <v>304</v>
      </c>
      <c r="E21" s="6"/>
      <c r="F21" s="6">
        <v>27</v>
      </c>
      <c r="G21" s="6" t="s">
        <v>32</v>
      </c>
      <c r="H21" s="6">
        <v>18</v>
      </c>
      <c r="I21" s="6" t="s">
        <v>33</v>
      </c>
      <c r="J21" s="6">
        <v>20</v>
      </c>
      <c r="K21" s="6">
        <v>209</v>
      </c>
      <c r="L21" s="6">
        <v>17</v>
      </c>
      <c r="M21" s="6">
        <v>0</v>
      </c>
      <c r="N21" s="6">
        <v>15.25</v>
      </c>
      <c r="O21" s="7">
        <f t="shared" si="0"/>
        <v>2940.3220338983051</v>
      </c>
      <c r="P21" s="6">
        <v>3469.58</v>
      </c>
      <c r="Q21" s="6"/>
    </row>
    <row r="22" spans="1:17">
      <c r="A22" s="4">
        <v>45383</v>
      </c>
      <c r="B22" s="5" t="s">
        <v>306</v>
      </c>
      <c r="C22" s="6" t="s">
        <v>111</v>
      </c>
      <c r="D22" s="6" t="s">
        <v>304</v>
      </c>
      <c r="E22" s="6"/>
      <c r="F22" s="6">
        <v>27</v>
      </c>
      <c r="G22" s="6" t="s">
        <v>103</v>
      </c>
      <c r="H22" s="6">
        <v>18</v>
      </c>
      <c r="I22" s="6" t="s">
        <v>104</v>
      </c>
      <c r="J22" s="6">
        <v>100</v>
      </c>
      <c r="K22" s="6">
        <v>48</v>
      </c>
      <c r="L22" s="6">
        <v>17</v>
      </c>
      <c r="M22" s="6">
        <v>0</v>
      </c>
      <c r="N22" s="6">
        <v>15.25</v>
      </c>
      <c r="O22" s="7">
        <f t="shared" si="0"/>
        <v>3376.4406779661017</v>
      </c>
      <c r="P22" s="6">
        <v>3984.2</v>
      </c>
      <c r="Q22" s="6"/>
    </row>
    <row r="23" spans="1:17">
      <c r="A23" s="4">
        <v>45383</v>
      </c>
      <c r="B23" s="5" t="s">
        <v>306</v>
      </c>
      <c r="C23" s="6" t="s">
        <v>111</v>
      </c>
      <c r="D23" s="6" t="s">
        <v>304</v>
      </c>
      <c r="E23" s="6"/>
      <c r="F23" s="6">
        <v>27</v>
      </c>
      <c r="G23" s="6" t="s">
        <v>90</v>
      </c>
      <c r="H23" s="6">
        <v>18</v>
      </c>
      <c r="I23" s="6" t="s">
        <v>91</v>
      </c>
      <c r="J23" s="6">
        <v>2</v>
      </c>
      <c r="K23" s="6">
        <v>195</v>
      </c>
      <c r="L23" s="6">
        <v>17</v>
      </c>
      <c r="M23" s="6">
        <v>0</v>
      </c>
      <c r="N23" s="6">
        <v>15.25</v>
      </c>
      <c r="O23" s="7">
        <f t="shared" si="0"/>
        <v>274.3389830508475</v>
      </c>
      <c r="P23" s="6">
        <v>323.72000000000003</v>
      </c>
      <c r="Q23" s="6"/>
    </row>
    <row r="24" spans="1:17">
      <c r="A24" s="4">
        <v>45383</v>
      </c>
      <c r="B24" s="5" t="s">
        <v>306</v>
      </c>
      <c r="C24" s="6" t="s">
        <v>111</v>
      </c>
      <c r="D24" s="6" t="s">
        <v>304</v>
      </c>
      <c r="E24" s="6"/>
      <c r="F24" s="6">
        <v>27</v>
      </c>
      <c r="G24" s="6" t="s">
        <v>88</v>
      </c>
      <c r="H24" s="6">
        <v>18</v>
      </c>
      <c r="I24" s="6" t="s">
        <v>89</v>
      </c>
      <c r="J24" s="6">
        <v>1</v>
      </c>
      <c r="K24" s="6">
        <v>325</v>
      </c>
      <c r="L24" s="6">
        <v>17</v>
      </c>
      <c r="M24" s="6">
        <v>0</v>
      </c>
      <c r="N24" s="6">
        <v>15.25</v>
      </c>
      <c r="O24" s="7">
        <f t="shared" si="0"/>
        <v>228.60169491525426</v>
      </c>
      <c r="P24" s="6">
        <v>269.75</v>
      </c>
      <c r="Q24" s="6"/>
    </row>
    <row r="25" spans="1:17">
      <c r="A25" s="4">
        <v>45383</v>
      </c>
      <c r="B25" s="5" t="s">
        <v>306</v>
      </c>
      <c r="C25" s="6" t="s">
        <v>111</v>
      </c>
      <c r="D25" s="6" t="s">
        <v>304</v>
      </c>
      <c r="E25" s="6"/>
      <c r="F25" s="6">
        <v>27</v>
      </c>
      <c r="G25" s="6" t="s">
        <v>42</v>
      </c>
      <c r="H25" s="6">
        <v>18</v>
      </c>
      <c r="I25" s="6" t="s">
        <v>43</v>
      </c>
      <c r="J25" s="6">
        <v>40</v>
      </c>
      <c r="K25" s="6">
        <v>30</v>
      </c>
      <c r="L25" s="6">
        <v>17</v>
      </c>
      <c r="M25" s="6">
        <v>0</v>
      </c>
      <c r="N25" s="6">
        <v>15.25</v>
      </c>
      <c r="O25" s="7">
        <f t="shared" si="0"/>
        <v>844.11016949152543</v>
      </c>
      <c r="P25" s="6">
        <v>996.05</v>
      </c>
      <c r="Q25" s="6"/>
    </row>
    <row r="26" spans="1:17">
      <c r="A26" s="4">
        <v>45383</v>
      </c>
      <c r="B26" s="5" t="s">
        <v>306</v>
      </c>
      <c r="C26" s="6" t="s">
        <v>111</v>
      </c>
      <c r="D26" s="6" t="s">
        <v>304</v>
      </c>
      <c r="E26" s="6"/>
      <c r="F26" s="6">
        <v>27</v>
      </c>
      <c r="G26" s="6" t="s">
        <v>136</v>
      </c>
      <c r="H26" s="6">
        <v>18</v>
      </c>
      <c r="I26" s="6" t="s">
        <v>137</v>
      </c>
      <c r="J26" s="6">
        <v>3</v>
      </c>
      <c r="K26" s="6">
        <v>155.25</v>
      </c>
      <c r="L26" s="6">
        <v>17</v>
      </c>
      <c r="M26" s="6">
        <v>0</v>
      </c>
      <c r="N26" s="6">
        <v>15.25</v>
      </c>
      <c r="O26" s="7">
        <f t="shared" si="0"/>
        <v>327.62711864406782</v>
      </c>
      <c r="P26" s="6">
        <v>386.6</v>
      </c>
      <c r="Q26" s="6"/>
    </row>
    <row r="27" spans="1:17">
      <c r="A27" s="4">
        <v>45383</v>
      </c>
      <c r="B27" s="5" t="s">
        <v>306</v>
      </c>
      <c r="C27" s="6" t="s">
        <v>111</v>
      </c>
      <c r="D27" s="6" t="s">
        <v>304</v>
      </c>
      <c r="E27" s="6"/>
      <c r="F27" s="6">
        <v>27</v>
      </c>
      <c r="G27" s="6" t="s">
        <v>138</v>
      </c>
      <c r="H27" s="6">
        <v>18</v>
      </c>
      <c r="I27" s="6" t="s">
        <v>139</v>
      </c>
      <c r="J27" s="6">
        <v>1</v>
      </c>
      <c r="K27" s="6">
        <v>102.5</v>
      </c>
      <c r="L27" s="6">
        <v>17</v>
      </c>
      <c r="M27" s="6">
        <v>0</v>
      </c>
      <c r="N27" s="6">
        <v>15.25</v>
      </c>
      <c r="O27" s="7">
        <f t="shared" si="0"/>
        <v>72.110169491525426</v>
      </c>
      <c r="P27" s="6">
        <v>85.09</v>
      </c>
      <c r="Q27" s="6"/>
    </row>
    <row r="28" spans="1:17">
      <c r="A28" s="4">
        <v>45383</v>
      </c>
      <c r="B28" s="5" t="s">
        <v>306</v>
      </c>
      <c r="C28" s="6" t="s">
        <v>111</v>
      </c>
      <c r="D28" s="6" t="s">
        <v>304</v>
      </c>
      <c r="E28" s="6"/>
      <c r="F28" s="6">
        <v>27</v>
      </c>
      <c r="G28" s="6" t="s">
        <v>140</v>
      </c>
      <c r="H28" s="6">
        <v>18</v>
      </c>
      <c r="I28" s="6" t="s">
        <v>141</v>
      </c>
      <c r="J28" s="6">
        <v>2</v>
      </c>
      <c r="K28" s="6">
        <v>201</v>
      </c>
      <c r="L28" s="6">
        <v>17</v>
      </c>
      <c r="M28" s="6">
        <v>0</v>
      </c>
      <c r="N28" s="6">
        <v>15.25</v>
      </c>
      <c r="O28" s="7">
        <f t="shared" si="0"/>
        <v>282.77966101694915</v>
      </c>
      <c r="P28" s="6">
        <v>333.68</v>
      </c>
      <c r="Q28" s="6"/>
    </row>
    <row r="29" spans="1:17">
      <c r="A29" s="4">
        <v>45383</v>
      </c>
      <c r="B29" s="5" t="s">
        <v>306</v>
      </c>
      <c r="C29" s="6" t="s">
        <v>111</v>
      </c>
      <c r="D29" s="6" t="s">
        <v>304</v>
      </c>
      <c r="E29" s="6"/>
      <c r="F29" s="6">
        <v>27</v>
      </c>
      <c r="G29" s="6" t="s">
        <v>142</v>
      </c>
      <c r="H29" s="6">
        <v>18</v>
      </c>
      <c r="I29" s="6" t="s">
        <v>143</v>
      </c>
      <c r="J29" s="6">
        <v>1</v>
      </c>
      <c r="K29" s="6">
        <v>311</v>
      </c>
      <c r="L29" s="6">
        <v>17</v>
      </c>
      <c r="M29" s="6">
        <v>0</v>
      </c>
      <c r="N29" s="6">
        <v>15.25</v>
      </c>
      <c r="O29" s="7">
        <f t="shared" si="0"/>
        <v>218.77118644067795</v>
      </c>
      <c r="P29" s="6">
        <v>258.14999999999998</v>
      </c>
      <c r="Q29" s="6"/>
    </row>
    <row r="30" spans="1:17">
      <c r="A30" s="4">
        <v>45383</v>
      </c>
      <c r="B30" s="5" t="s">
        <v>306</v>
      </c>
      <c r="C30" s="6" t="s">
        <v>111</v>
      </c>
      <c r="D30" s="6" t="s">
        <v>304</v>
      </c>
      <c r="E30" s="6"/>
      <c r="F30" s="6">
        <v>28</v>
      </c>
      <c r="G30" s="6" t="s">
        <v>144</v>
      </c>
      <c r="H30" s="6">
        <v>18</v>
      </c>
      <c r="I30" s="6" t="s">
        <v>145</v>
      </c>
      <c r="J30" s="6">
        <v>270</v>
      </c>
      <c r="K30" s="6">
        <v>23.5</v>
      </c>
      <c r="L30" s="6">
        <v>17</v>
      </c>
      <c r="M30" s="6">
        <v>0</v>
      </c>
      <c r="N30" s="6">
        <v>15.25</v>
      </c>
      <c r="O30" s="7">
        <f t="shared" si="0"/>
        <v>4463.2288135593217</v>
      </c>
      <c r="P30" s="6">
        <v>5266.61</v>
      </c>
      <c r="Q30" s="6"/>
    </row>
    <row r="31" spans="1:17">
      <c r="A31" s="4">
        <v>45383</v>
      </c>
      <c r="B31" s="5" t="s">
        <v>306</v>
      </c>
      <c r="C31" s="6" t="s">
        <v>111</v>
      </c>
      <c r="D31" s="6" t="s">
        <v>304</v>
      </c>
      <c r="E31" s="6"/>
      <c r="F31" s="6">
        <v>28</v>
      </c>
      <c r="G31" s="6" t="s">
        <v>54</v>
      </c>
      <c r="H31" s="6">
        <v>18</v>
      </c>
      <c r="I31" s="6" t="s">
        <v>55</v>
      </c>
      <c r="J31" s="6">
        <v>10</v>
      </c>
      <c r="K31" s="6">
        <v>12.65</v>
      </c>
      <c r="L31" s="6">
        <v>17</v>
      </c>
      <c r="M31" s="6">
        <v>0</v>
      </c>
      <c r="N31" s="6">
        <v>15.25</v>
      </c>
      <c r="O31" s="7">
        <f t="shared" si="0"/>
        <v>88.991525423728817</v>
      </c>
      <c r="P31" s="6">
        <v>105.01</v>
      </c>
      <c r="Q31" s="6"/>
    </row>
    <row r="32" spans="1:17">
      <c r="A32" s="4">
        <v>45383</v>
      </c>
      <c r="B32" s="5" t="s">
        <v>306</v>
      </c>
      <c r="C32" s="6" t="s">
        <v>111</v>
      </c>
      <c r="D32" s="6" t="s">
        <v>304</v>
      </c>
      <c r="E32" s="6"/>
      <c r="F32" s="6">
        <v>28</v>
      </c>
      <c r="G32" s="6" t="s">
        <v>56</v>
      </c>
      <c r="H32" s="6">
        <v>18</v>
      </c>
      <c r="I32" s="6" t="s">
        <v>57</v>
      </c>
      <c r="J32" s="6">
        <v>1</v>
      </c>
      <c r="K32" s="6">
        <v>4.6500000000000004</v>
      </c>
      <c r="L32" s="6">
        <v>17</v>
      </c>
      <c r="M32" s="6">
        <v>0</v>
      </c>
      <c r="N32" s="6">
        <v>15.25</v>
      </c>
      <c r="O32" s="7">
        <f t="shared" si="0"/>
        <v>3.2627118644067798</v>
      </c>
      <c r="P32" s="6">
        <v>3.85</v>
      </c>
      <c r="Q32" s="6"/>
    </row>
    <row r="33" spans="1:17">
      <c r="A33" s="4">
        <v>45383</v>
      </c>
      <c r="B33" s="5" t="s">
        <v>307</v>
      </c>
      <c r="C33" s="6" t="s">
        <v>58</v>
      </c>
      <c r="D33" s="6" t="s">
        <v>304</v>
      </c>
      <c r="E33" s="6"/>
      <c r="F33" s="6">
        <v>29</v>
      </c>
      <c r="G33" s="6" t="s">
        <v>146</v>
      </c>
      <c r="H33" s="6">
        <v>18</v>
      </c>
      <c r="I33" s="6" t="s">
        <v>147</v>
      </c>
      <c r="J33" s="6">
        <v>12</v>
      </c>
      <c r="K33" s="6">
        <v>51</v>
      </c>
      <c r="L33" s="6">
        <v>17</v>
      </c>
      <c r="M33" s="6">
        <v>0</v>
      </c>
      <c r="N33" s="6">
        <v>15.25</v>
      </c>
      <c r="O33" s="7">
        <f t="shared" si="0"/>
        <v>430.49152542372883</v>
      </c>
      <c r="P33" s="6">
        <v>507.98</v>
      </c>
      <c r="Q33" s="6"/>
    </row>
    <row r="34" spans="1:17">
      <c r="A34" s="4">
        <v>45383</v>
      </c>
      <c r="B34" s="5" t="s">
        <v>307</v>
      </c>
      <c r="C34" s="6" t="s">
        <v>58</v>
      </c>
      <c r="D34" s="6" t="s">
        <v>304</v>
      </c>
      <c r="E34" s="6"/>
      <c r="F34" s="6">
        <v>29</v>
      </c>
      <c r="G34" s="6" t="s">
        <v>122</v>
      </c>
      <c r="H34" s="6">
        <v>18</v>
      </c>
      <c r="I34" s="6" t="s">
        <v>123</v>
      </c>
      <c r="J34" s="6">
        <v>600</v>
      </c>
      <c r="K34" s="6">
        <v>24.25</v>
      </c>
      <c r="L34" s="6">
        <v>17</v>
      </c>
      <c r="M34" s="6">
        <v>0</v>
      </c>
      <c r="N34" s="6">
        <v>15.25</v>
      </c>
      <c r="O34" s="7">
        <f t="shared" si="0"/>
        <v>10234.822033898306</v>
      </c>
      <c r="P34" s="6">
        <v>12077.09</v>
      </c>
      <c r="Q34" s="6"/>
    </row>
    <row r="35" spans="1:17">
      <c r="A35" s="4">
        <v>45383</v>
      </c>
      <c r="B35" s="5" t="s">
        <v>308</v>
      </c>
      <c r="C35" s="6" t="s">
        <v>148</v>
      </c>
      <c r="D35" s="6" t="s">
        <v>304</v>
      </c>
      <c r="E35" s="6"/>
      <c r="F35" s="6">
        <v>30</v>
      </c>
      <c r="G35" s="6" t="s">
        <v>21</v>
      </c>
      <c r="H35" s="6">
        <v>18</v>
      </c>
      <c r="I35" s="6" t="s">
        <v>22</v>
      </c>
      <c r="J35" s="6">
        <v>5</v>
      </c>
      <c r="K35" s="6">
        <v>22.75</v>
      </c>
      <c r="L35" s="6">
        <v>14.5</v>
      </c>
      <c r="M35" s="6">
        <v>0</v>
      </c>
      <c r="N35" s="6">
        <v>15.25</v>
      </c>
      <c r="O35" s="7">
        <f t="shared" si="0"/>
        <v>82.432203389830505</v>
      </c>
      <c r="P35" s="6">
        <v>97.27</v>
      </c>
      <c r="Q35" s="6"/>
    </row>
    <row r="36" spans="1:17">
      <c r="A36" s="4">
        <v>45383</v>
      </c>
      <c r="B36" s="5" t="s">
        <v>308</v>
      </c>
      <c r="C36" s="6" t="s">
        <v>148</v>
      </c>
      <c r="D36" s="6" t="s">
        <v>304</v>
      </c>
      <c r="E36" s="6"/>
      <c r="F36" s="6">
        <v>30</v>
      </c>
      <c r="G36" s="6" t="s">
        <v>23</v>
      </c>
      <c r="H36" s="6">
        <v>18</v>
      </c>
      <c r="I36" s="6" t="s">
        <v>24</v>
      </c>
      <c r="J36" s="6">
        <v>4</v>
      </c>
      <c r="K36" s="6">
        <v>42</v>
      </c>
      <c r="L36" s="6">
        <v>14.5</v>
      </c>
      <c r="M36" s="6">
        <v>0</v>
      </c>
      <c r="N36" s="6">
        <v>15.25</v>
      </c>
      <c r="O36" s="7">
        <f t="shared" si="0"/>
        <v>121.73728813559323</v>
      </c>
      <c r="P36" s="6">
        <v>143.65</v>
      </c>
      <c r="Q36" s="6"/>
    </row>
    <row r="37" spans="1:17">
      <c r="A37" s="4">
        <v>45383</v>
      </c>
      <c r="B37" s="5" t="s">
        <v>308</v>
      </c>
      <c r="C37" s="6" t="s">
        <v>148</v>
      </c>
      <c r="D37" s="6" t="s">
        <v>304</v>
      </c>
      <c r="E37" s="6"/>
      <c r="F37" s="6">
        <v>30</v>
      </c>
      <c r="G37" s="6" t="s">
        <v>149</v>
      </c>
      <c r="H37" s="6">
        <v>18</v>
      </c>
      <c r="I37" s="6" t="s">
        <v>150</v>
      </c>
      <c r="J37" s="6">
        <v>2</v>
      </c>
      <c r="K37" s="6">
        <v>51</v>
      </c>
      <c r="L37" s="6">
        <v>14.5</v>
      </c>
      <c r="M37" s="6">
        <v>0</v>
      </c>
      <c r="N37" s="6">
        <v>15.25</v>
      </c>
      <c r="O37" s="7">
        <f t="shared" si="0"/>
        <v>73.906779661016941</v>
      </c>
      <c r="P37" s="6">
        <v>87.21</v>
      </c>
      <c r="Q37" s="6"/>
    </row>
    <row r="38" spans="1:17">
      <c r="A38" s="4">
        <v>45383</v>
      </c>
      <c r="B38" s="5" t="s">
        <v>308</v>
      </c>
      <c r="C38" s="6" t="s">
        <v>148</v>
      </c>
      <c r="D38" s="6" t="s">
        <v>304</v>
      </c>
      <c r="E38" s="6"/>
      <c r="F38" s="6">
        <v>30</v>
      </c>
      <c r="G38" s="6" t="s">
        <v>105</v>
      </c>
      <c r="H38" s="6">
        <v>18</v>
      </c>
      <c r="I38" s="6" t="s">
        <v>106</v>
      </c>
      <c r="J38" s="6">
        <v>5</v>
      </c>
      <c r="K38" s="6">
        <v>11.2</v>
      </c>
      <c r="L38" s="6">
        <v>14.5</v>
      </c>
      <c r="M38" s="6">
        <v>0</v>
      </c>
      <c r="N38" s="6">
        <v>15.25</v>
      </c>
      <c r="O38" s="7">
        <f t="shared" si="0"/>
        <v>40.576271186440685</v>
      </c>
      <c r="P38" s="6">
        <v>47.88</v>
      </c>
      <c r="Q38" s="6"/>
    </row>
    <row r="39" spans="1:17">
      <c r="A39" s="4">
        <v>45383</v>
      </c>
      <c r="B39" s="5" t="s">
        <v>308</v>
      </c>
      <c r="C39" s="6" t="s">
        <v>148</v>
      </c>
      <c r="D39" s="6" t="s">
        <v>304</v>
      </c>
      <c r="E39" s="6"/>
      <c r="F39" s="6">
        <v>30</v>
      </c>
      <c r="G39" s="6" t="s">
        <v>151</v>
      </c>
      <c r="H39" s="6">
        <v>18</v>
      </c>
      <c r="I39" s="6" t="s">
        <v>152</v>
      </c>
      <c r="J39" s="6">
        <v>3</v>
      </c>
      <c r="K39" s="6">
        <v>59</v>
      </c>
      <c r="L39" s="6">
        <v>14.5</v>
      </c>
      <c r="M39" s="6">
        <v>0</v>
      </c>
      <c r="N39" s="6">
        <v>15.25</v>
      </c>
      <c r="O39" s="7">
        <f t="shared" si="0"/>
        <v>128.25423728813561</v>
      </c>
      <c r="P39" s="6">
        <v>151.34</v>
      </c>
      <c r="Q39" s="6"/>
    </row>
    <row r="40" spans="1:17">
      <c r="A40" s="4">
        <v>45383</v>
      </c>
      <c r="B40" s="5" t="s">
        <v>308</v>
      </c>
      <c r="C40" s="6" t="s">
        <v>148</v>
      </c>
      <c r="D40" s="6" t="s">
        <v>304</v>
      </c>
      <c r="E40" s="6"/>
      <c r="F40" s="6">
        <v>30</v>
      </c>
      <c r="G40" s="6" t="s">
        <v>153</v>
      </c>
      <c r="H40" s="6">
        <v>18</v>
      </c>
      <c r="I40" s="6" t="s">
        <v>154</v>
      </c>
      <c r="J40" s="6">
        <v>1</v>
      </c>
      <c r="K40" s="6">
        <v>80</v>
      </c>
      <c r="L40" s="6">
        <v>14.5</v>
      </c>
      <c r="M40" s="6">
        <v>0</v>
      </c>
      <c r="N40" s="6">
        <v>15.25</v>
      </c>
      <c r="O40" s="7">
        <f t="shared" si="0"/>
        <v>57.974576271186443</v>
      </c>
      <c r="P40" s="6">
        <v>68.41</v>
      </c>
      <c r="Q40" s="6"/>
    </row>
    <row r="41" spans="1:17">
      <c r="A41" s="4">
        <v>45383</v>
      </c>
      <c r="B41" s="5" t="s">
        <v>308</v>
      </c>
      <c r="C41" s="6" t="s">
        <v>148</v>
      </c>
      <c r="D41" s="6" t="s">
        <v>304</v>
      </c>
      <c r="E41" s="6"/>
      <c r="F41" s="6">
        <v>30</v>
      </c>
      <c r="G41" s="6" t="s">
        <v>92</v>
      </c>
      <c r="H41" s="6">
        <v>18</v>
      </c>
      <c r="I41" s="6" t="s">
        <v>93</v>
      </c>
      <c r="J41" s="6">
        <v>2</v>
      </c>
      <c r="K41" s="6">
        <v>123.25</v>
      </c>
      <c r="L41" s="6">
        <v>14.5</v>
      </c>
      <c r="M41" s="6">
        <v>0</v>
      </c>
      <c r="N41" s="6">
        <v>15.25</v>
      </c>
      <c r="O41" s="7">
        <f t="shared" si="0"/>
        <v>178.62711864406782</v>
      </c>
      <c r="P41" s="6">
        <v>210.78</v>
      </c>
      <c r="Q41" s="6"/>
    </row>
    <row r="42" spans="1:17">
      <c r="A42" s="4">
        <v>45383</v>
      </c>
      <c r="B42" s="5" t="s">
        <v>309</v>
      </c>
      <c r="C42" s="6" t="s">
        <v>155</v>
      </c>
      <c r="D42" s="6" t="s">
        <v>304</v>
      </c>
      <c r="E42" s="6"/>
      <c r="F42" s="6">
        <v>31</v>
      </c>
      <c r="G42" s="6" t="s">
        <v>54</v>
      </c>
      <c r="H42" s="6">
        <v>18</v>
      </c>
      <c r="I42" s="6" t="s">
        <v>55</v>
      </c>
      <c r="J42" s="6">
        <v>1500</v>
      </c>
      <c r="K42" s="6">
        <v>12.65</v>
      </c>
      <c r="L42" s="6">
        <v>14.5</v>
      </c>
      <c r="M42" s="6">
        <v>0</v>
      </c>
      <c r="N42" s="6">
        <v>15.25</v>
      </c>
      <c r="O42" s="7">
        <f t="shared" si="0"/>
        <v>13749.525423728815</v>
      </c>
      <c r="P42" s="6">
        <v>16224.44</v>
      </c>
      <c r="Q42" s="6"/>
    </row>
    <row r="43" spans="1:17">
      <c r="A43" s="4">
        <v>45383</v>
      </c>
      <c r="B43" s="5" t="s">
        <v>309</v>
      </c>
      <c r="C43" s="6" t="s">
        <v>155</v>
      </c>
      <c r="D43" s="6" t="s">
        <v>304</v>
      </c>
      <c r="E43" s="6"/>
      <c r="F43" s="6">
        <v>31</v>
      </c>
      <c r="G43" s="6" t="s">
        <v>156</v>
      </c>
      <c r="H43" s="6">
        <v>18</v>
      </c>
      <c r="I43" s="6" t="s">
        <v>157</v>
      </c>
      <c r="J43" s="6">
        <v>200</v>
      </c>
      <c r="K43" s="6">
        <v>102.5</v>
      </c>
      <c r="L43" s="6">
        <v>14.5</v>
      </c>
      <c r="M43" s="6">
        <v>0</v>
      </c>
      <c r="N43" s="6">
        <v>15.25</v>
      </c>
      <c r="O43" s="7">
        <f t="shared" si="0"/>
        <v>14854.5593220339</v>
      </c>
      <c r="P43" s="6">
        <v>17528.38</v>
      </c>
      <c r="Q43" s="6"/>
    </row>
    <row r="44" spans="1:17">
      <c r="A44" s="4">
        <v>45383</v>
      </c>
      <c r="B44" s="5" t="s">
        <v>308</v>
      </c>
      <c r="C44" s="6" t="s">
        <v>148</v>
      </c>
      <c r="D44" s="6" t="s">
        <v>304</v>
      </c>
      <c r="E44" s="6"/>
      <c r="F44" s="6">
        <v>32</v>
      </c>
      <c r="G44" s="6" t="s">
        <v>92</v>
      </c>
      <c r="H44" s="6">
        <v>18</v>
      </c>
      <c r="I44" s="6" t="s">
        <v>93</v>
      </c>
      <c r="J44" s="6">
        <v>1</v>
      </c>
      <c r="K44" s="6">
        <v>123.25</v>
      </c>
      <c r="L44" s="6">
        <v>14.5</v>
      </c>
      <c r="M44" s="6">
        <v>0</v>
      </c>
      <c r="N44" s="6">
        <v>15.25</v>
      </c>
      <c r="O44" s="7">
        <f t="shared" si="0"/>
        <v>89.31355932203391</v>
      </c>
      <c r="P44" s="6">
        <v>105.39</v>
      </c>
      <c r="Q44" s="6"/>
    </row>
    <row r="45" spans="1:17">
      <c r="A45" s="4">
        <v>45383</v>
      </c>
      <c r="B45" s="5" t="s">
        <v>308</v>
      </c>
      <c r="C45" s="6" t="s">
        <v>148</v>
      </c>
      <c r="D45" s="6" t="s">
        <v>304</v>
      </c>
      <c r="E45" s="6"/>
      <c r="F45" s="6">
        <v>32</v>
      </c>
      <c r="G45" s="6" t="s">
        <v>105</v>
      </c>
      <c r="H45" s="6">
        <v>18</v>
      </c>
      <c r="I45" s="6" t="s">
        <v>106</v>
      </c>
      <c r="J45" s="6">
        <v>3</v>
      </c>
      <c r="K45" s="6">
        <v>11.2</v>
      </c>
      <c r="L45" s="6">
        <v>14.5</v>
      </c>
      <c r="M45" s="6">
        <v>0</v>
      </c>
      <c r="N45" s="6">
        <v>15.25</v>
      </c>
      <c r="O45" s="7">
        <f t="shared" si="0"/>
        <v>24.347457627118647</v>
      </c>
      <c r="P45" s="6">
        <v>28.73</v>
      </c>
      <c r="Q45" s="6"/>
    </row>
    <row r="46" spans="1:17">
      <c r="A46" s="4">
        <v>45383</v>
      </c>
      <c r="B46" s="5" t="s">
        <v>308</v>
      </c>
      <c r="C46" s="6" t="s">
        <v>148</v>
      </c>
      <c r="D46" s="6" t="s">
        <v>304</v>
      </c>
      <c r="E46" s="6"/>
      <c r="F46" s="6">
        <v>32</v>
      </c>
      <c r="G46" s="6" t="s">
        <v>56</v>
      </c>
      <c r="H46" s="6">
        <v>18</v>
      </c>
      <c r="I46" s="6" t="s">
        <v>57</v>
      </c>
      <c r="J46" s="6">
        <v>2</v>
      </c>
      <c r="K46" s="6">
        <v>4.6500000000000004</v>
      </c>
      <c r="L46" s="6">
        <v>14.5</v>
      </c>
      <c r="M46" s="6">
        <v>0</v>
      </c>
      <c r="N46" s="6">
        <v>15.25</v>
      </c>
      <c r="O46" s="7">
        <f t="shared" si="0"/>
        <v>6.7457627118644075</v>
      </c>
      <c r="P46" s="6">
        <v>7.96</v>
      </c>
      <c r="Q46" s="6"/>
    </row>
    <row r="47" spans="1:17">
      <c r="A47" s="4">
        <v>45383</v>
      </c>
      <c r="B47" s="5" t="s">
        <v>310</v>
      </c>
      <c r="C47" s="6" t="s">
        <v>158</v>
      </c>
      <c r="D47" s="6" t="s">
        <v>304</v>
      </c>
      <c r="E47" s="6"/>
      <c r="F47" s="6">
        <v>33</v>
      </c>
      <c r="G47" s="6" t="s">
        <v>159</v>
      </c>
      <c r="H47" s="6">
        <v>18</v>
      </c>
      <c r="I47" s="6" t="s">
        <v>160</v>
      </c>
      <c r="J47" s="6">
        <v>1500</v>
      </c>
      <c r="K47" s="6">
        <v>14.25</v>
      </c>
      <c r="L47" s="6">
        <v>17</v>
      </c>
      <c r="M47" s="6">
        <v>0</v>
      </c>
      <c r="N47" s="6">
        <v>15.25</v>
      </c>
      <c r="O47" s="7">
        <f t="shared" si="0"/>
        <v>15035.703389830511</v>
      </c>
      <c r="P47" s="6">
        <v>17742.13</v>
      </c>
      <c r="Q47" s="6"/>
    </row>
    <row r="48" spans="1:17">
      <c r="A48" s="4">
        <v>45383</v>
      </c>
      <c r="B48" s="5" t="s">
        <v>310</v>
      </c>
      <c r="C48" s="6" t="s">
        <v>158</v>
      </c>
      <c r="D48" s="6" t="s">
        <v>304</v>
      </c>
      <c r="E48" s="6"/>
      <c r="F48" s="6">
        <v>33</v>
      </c>
      <c r="G48" s="6" t="s">
        <v>19</v>
      </c>
      <c r="H48" s="6">
        <v>18</v>
      </c>
      <c r="I48" s="6" t="s">
        <v>20</v>
      </c>
      <c r="J48" s="6">
        <v>1010</v>
      </c>
      <c r="K48" s="6">
        <v>25</v>
      </c>
      <c r="L48" s="6">
        <v>17</v>
      </c>
      <c r="M48" s="6">
        <v>0</v>
      </c>
      <c r="N48" s="6">
        <v>15.25</v>
      </c>
      <c r="O48" s="7">
        <f t="shared" si="0"/>
        <v>17761.474576271186</v>
      </c>
      <c r="P48" s="6">
        <v>20958.54</v>
      </c>
      <c r="Q48" s="6"/>
    </row>
    <row r="49" spans="1:17">
      <c r="A49" s="4">
        <v>45383</v>
      </c>
      <c r="B49" s="5" t="s">
        <v>310</v>
      </c>
      <c r="C49" s="6" t="s">
        <v>158</v>
      </c>
      <c r="D49" s="6" t="s">
        <v>304</v>
      </c>
      <c r="E49" s="6"/>
      <c r="F49" s="6">
        <v>33</v>
      </c>
      <c r="G49" s="6" t="s">
        <v>118</v>
      </c>
      <c r="H49" s="6">
        <v>18</v>
      </c>
      <c r="I49" s="6" t="s">
        <v>119</v>
      </c>
      <c r="J49" s="6">
        <v>100</v>
      </c>
      <c r="K49" s="6">
        <v>35.75</v>
      </c>
      <c r="L49" s="6">
        <v>17</v>
      </c>
      <c r="M49" s="6">
        <v>0</v>
      </c>
      <c r="N49" s="6">
        <v>15.25</v>
      </c>
      <c r="O49" s="7">
        <f t="shared" si="0"/>
        <v>2514.7457627118647</v>
      </c>
      <c r="P49" s="6">
        <v>2967.4</v>
      </c>
      <c r="Q49" s="6"/>
    </row>
    <row r="50" spans="1:17">
      <c r="A50" s="4">
        <v>45383</v>
      </c>
      <c r="B50" s="5" t="s">
        <v>310</v>
      </c>
      <c r="C50" s="6" t="s">
        <v>158</v>
      </c>
      <c r="D50" s="6" t="s">
        <v>304</v>
      </c>
      <c r="E50" s="6"/>
      <c r="F50" s="6">
        <v>33</v>
      </c>
      <c r="G50" s="6" t="s">
        <v>120</v>
      </c>
      <c r="H50" s="6">
        <v>18</v>
      </c>
      <c r="I50" s="6" t="s">
        <v>121</v>
      </c>
      <c r="J50" s="6">
        <v>51</v>
      </c>
      <c r="K50" s="6">
        <v>96</v>
      </c>
      <c r="L50" s="6">
        <v>17</v>
      </c>
      <c r="M50" s="6">
        <v>0</v>
      </c>
      <c r="N50" s="6">
        <v>15.25</v>
      </c>
      <c r="O50" s="7">
        <f t="shared" si="0"/>
        <v>3443.9745762711864</v>
      </c>
      <c r="P50" s="6">
        <v>4063.89</v>
      </c>
      <c r="Q50" s="6"/>
    </row>
    <row r="51" spans="1:17">
      <c r="A51" s="4">
        <v>45383</v>
      </c>
      <c r="B51" s="5" t="s">
        <v>310</v>
      </c>
      <c r="C51" s="6" t="s">
        <v>158</v>
      </c>
      <c r="D51" s="6" t="s">
        <v>304</v>
      </c>
      <c r="E51" s="6"/>
      <c r="F51" s="6">
        <v>33</v>
      </c>
      <c r="G51" s="6" t="s">
        <v>122</v>
      </c>
      <c r="H51" s="6">
        <v>18</v>
      </c>
      <c r="I51" s="6" t="s">
        <v>123</v>
      </c>
      <c r="J51" s="6">
        <v>200</v>
      </c>
      <c r="K51" s="6">
        <v>24.25</v>
      </c>
      <c r="L51" s="6">
        <v>17</v>
      </c>
      <c r="M51" s="6">
        <v>0</v>
      </c>
      <c r="N51" s="6">
        <v>15.25</v>
      </c>
      <c r="O51" s="7">
        <f t="shared" si="0"/>
        <v>3411.6016949152545</v>
      </c>
      <c r="P51" s="6">
        <v>4025.69</v>
      </c>
      <c r="Q51" s="6"/>
    </row>
    <row r="52" spans="1:17">
      <c r="A52" s="4">
        <v>45383</v>
      </c>
      <c r="B52" s="5" t="s">
        <v>310</v>
      </c>
      <c r="C52" s="6" t="s">
        <v>158</v>
      </c>
      <c r="D52" s="6" t="s">
        <v>304</v>
      </c>
      <c r="E52" s="6"/>
      <c r="F52" s="6">
        <v>33</v>
      </c>
      <c r="G52" s="6" t="s">
        <v>100</v>
      </c>
      <c r="H52" s="6">
        <v>18</v>
      </c>
      <c r="I52" s="6" t="s">
        <v>101</v>
      </c>
      <c r="J52" s="6">
        <v>51</v>
      </c>
      <c r="K52" s="6">
        <v>100</v>
      </c>
      <c r="L52" s="6">
        <v>17</v>
      </c>
      <c r="M52" s="6">
        <v>0</v>
      </c>
      <c r="N52" s="6">
        <v>15.25</v>
      </c>
      <c r="O52" s="7">
        <f t="shared" si="0"/>
        <v>3587.4661016949153</v>
      </c>
      <c r="P52" s="6">
        <v>4233.21</v>
      </c>
      <c r="Q52" s="6"/>
    </row>
    <row r="53" spans="1:17">
      <c r="A53" s="4">
        <v>45383</v>
      </c>
      <c r="B53" s="5" t="s">
        <v>310</v>
      </c>
      <c r="C53" s="6" t="s">
        <v>158</v>
      </c>
      <c r="D53" s="6" t="s">
        <v>304</v>
      </c>
      <c r="E53" s="6"/>
      <c r="F53" s="6">
        <v>33</v>
      </c>
      <c r="G53" s="6" t="s">
        <v>98</v>
      </c>
      <c r="H53" s="6">
        <v>18</v>
      </c>
      <c r="I53" s="6" t="s">
        <v>99</v>
      </c>
      <c r="J53" s="6">
        <v>180</v>
      </c>
      <c r="K53" s="6">
        <v>18.55</v>
      </c>
      <c r="L53" s="6">
        <v>17</v>
      </c>
      <c r="M53" s="6">
        <v>0</v>
      </c>
      <c r="N53" s="6">
        <v>15.25</v>
      </c>
      <c r="O53" s="7">
        <f t="shared" si="0"/>
        <v>2348.7457627118647</v>
      </c>
      <c r="P53" s="6">
        <v>2771.52</v>
      </c>
      <c r="Q53" s="6"/>
    </row>
    <row r="54" spans="1:17">
      <c r="A54" s="4">
        <v>45383</v>
      </c>
      <c r="B54" s="5" t="s">
        <v>310</v>
      </c>
      <c r="C54" s="6" t="s">
        <v>158</v>
      </c>
      <c r="D54" s="6" t="s">
        <v>304</v>
      </c>
      <c r="E54" s="6"/>
      <c r="F54" s="6">
        <v>33</v>
      </c>
      <c r="G54" s="6" t="s">
        <v>116</v>
      </c>
      <c r="H54" s="6">
        <v>18</v>
      </c>
      <c r="I54" s="6" t="s">
        <v>117</v>
      </c>
      <c r="J54" s="6">
        <v>121</v>
      </c>
      <c r="K54" s="6">
        <v>45</v>
      </c>
      <c r="L54" s="6">
        <v>17</v>
      </c>
      <c r="M54" s="6">
        <v>0</v>
      </c>
      <c r="N54" s="6">
        <v>15.25</v>
      </c>
      <c r="O54" s="7">
        <f t="shared" si="0"/>
        <v>3830.1440677966102</v>
      </c>
      <c r="P54" s="6">
        <v>4519.57</v>
      </c>
      <c r="Q54" s="6"/>
    </row>
    <row r="55" spans="1:17">
      <c r="A55" s="4">
        <v>45383</v>
      </c>
      <c r="B55" s="5" t="s">
        <v>310</v>
      </c>
      <c r="C55" s="6" t="s">
        <v>158</v>
      </c>
      <c r="D55" s="6" t="s">
        <v>304</v>
      </c>
      <c r="E55" s="6"/>
      <c r="F55" s="6">
        <v>33</v>
      </c>
      <c r="G55" s="6" t="s">
        <v>161</v>
      </c>
      <c r="H55" s="6">
        <v>18</v>
      </c>
      <c r="I55" s="6" t="s">
        <v>162</v>
      </c>
      <c r="J55" s="6">
        <v>62</v>
      </c>
      <c r="K55" s="6">
        <v>39</v>
      </c>
      <c r="L55" s="6">
        <v>17</v>
      </c>
      <c r="M55" s="6">
        <v>0</v>
      </c>
      <c r="N55" s="6">
        <v>15.25</v>
      </c>
      <c r="O55" s="7">
        <f t="shared" si="0"/>
        <v>1700.8813559322034</v>
      </c>
      <c r="P55" s="6">
        <v>2007.04</v>
      </c>
      <c r="Q55" s="6"/>
    </row>
    <row r="56" spans="1:17">
      <c r="A56" s="4">
        <v>45383</v>
      </c>
      <c r="B56" s="5" t="s">
        <v>310</v>
      </c>
      <c r="C56" s="6" t="s">
        <v>158</v>
      </c>
      <c r="D56" s="6" t="s">
        <v>304</v>
      </c>
      <c r="E56" s="6"/>
      <c r="F56" s="6">
        <v>33</v>
      </c>
      <c r="G56" s="6" t="s">
        <v>30</v>
      </c>
      <c r="H56" s="6">
        <v>18</v>
      </c>
      <c r="I56" s="6" t="s">
        <v>31</v>
      </c>
      <c r="J56" s="6">
        <v>120</v>
      </c>
      <c r="K56" s="6">
        <v>23.5</v>
      </c>
      <c r="L56" s="6">
        <v>17</v>
      </c>
      <c r="M56" s="6">
        <v>0</v>
      </c>
      <c r="N56" s="6">
        <v>15.25</v>
      </c>
      <c r="O56" s="7">
        <f t="shared" si="0"/>
        <v>1983.6610169491526</v>
      </c>
      <c r="P56" s="6">
        <v>2340.7199999999998</v>
      </c>
      <c r="Q56" s="6"/>
    </row>
    <row r="57" spans="1:17">
      <c r="A57" s="4">
        <v>45383</v>
      </c>
      <c r="B57" s="5" t="s">
        <v>310</v>
      </c>
      <c r="C57" s="6" t="s">
        <v>158</v>
      </c>
      <c r="D57" s="6" t="s">
        <v>304</v>
      </c>
      <c r="E57" s="6"/>
      <c r="F57" s="6">
        <v>33</v>
      </c>
      <c r="G57" s="6" t="s">
        <v>163</v>
      </c>
      <c r="H57" s="6">
        <v>18</v>
      </c>
      <c r="I57" s="6" t="s">
        <v>164</v>
      </c>
      <c r="J57" s="6">
        <v>5</v>
      </c>
      <c r="K57" s="6">
        <v>112</v>
      </c>
      <c r="L57" s="6">
        <v>17</v>
      </c>
      <c r="M57" s="6">
        <v>0</v>
      </c>
      <c r="N57" s="6">
        <v>15.25</v>
      </c>
      <c r="O57" s="7">
        <f t="shared" si="0"/>
        <v>393.91525423728814</v>
      </c>
      <c r="P57" s="6">
        <v>464.82</v>
      </c>
      <c r="Q57" s="6"/>
    </row>
    <row r="58" spans="1:17">
      <c r="A58" s="4">
        <v>45383</v>
      </c>
      <c r="B58" s="5" t="s">
        <v>310</v>
      </c>
      <c r="C58" s="6" t="s">
        <v>158</v>
      </c>
      <c r="D58" s="6" t="s">
        <v>304</v>
      </c>
      <c r="E58" s="6"/>
      <c r="F58" s="6">
        <v>33</v>
      </c>
      <c r="G58" s="6" t="s">
        <v>165</v>
      </c>
      <c r="H58" s="6">
        <v>18</v>
      </c>
      <c r="I58" s="6" t="s">
        <v>166</v>
      </c>
      <c r="J58" s="6">
        <v>5</v>
      </c>
      <c r="K58" s="6">
        <v>297</v>
      </c>
      <c r="L58" s="6">
        <v>17</v>
      </c>
      <c r="M58" s="6">
        <v>0</v>
      </c>
      <c r="N58" s="6">
        <v>15.25</v>
      </c>
      <c r="O58" s="7">
        <f t="shared" si="0"/>
        <v>1044.5847457627119</v>
      </c>
      <c r="P58" s="6">
        <v>1232.6099999999999</v>
      </c>
      <c r="Q58" s="6"/>
    </row>
    <row r="59" spans="1:17">
      <c r="A59" s="4">
        <v>45383</v>
      </c>
      <c r="B59" s="5" t="s">
        <v>310</v>
      </c>
      <c r="C59" s="6" t="s">
        <v>158</v>
      </c>
      <c r="D59" s="6" t="s">
        <v>304</v>
      </c>
      <c r="E59" s="6"/>
      <c r="F59" s="6">
        <v>33</v>
      </c>
      <c r="G59" s="6" t="s">
        <v>167</v>
      </c>
      <c r="H59" s="6">
        <v>18</v>
      </c>
      <c r="I59" s="6" t="s">
        <v>168</v>
      </c>
      <c r="J59" s="6">
        <v>20</v>
      </c>
      <c r="K59" s="6">
        <v>233</v>
      </c>
      <c r="L59" s="6">
        <v>17</v>
      </c>
      <c r="M59" s="6">
        <v>0</v>
      </c>
      <c r="N59" s="6">
        <v>15.25</v>
      </c>
      <c r="O59" s="7">
        <f t="shared" si="0"/>
        <v>3277.9661016949153</v>
      </c>
      <c r="P59" s="6">
        <v>3868</v>
      </c>
      <c r="Q59" s="6"/>
    </row>
    <row r="60" spans="1:17">
      <c r="A60" s="4">
        <v>45383</v>
      </c>
      <c r="B60" s="5" t="s">
        <v>310</v>
      </c>
      <c r="C60" s="6" t="s">
        <v>158</v>
      </c>
      <c r="D60" s="6" t="s">
        <v>304</v>
      </c>
      <c r="E60" s="6"/>
      <c r="F60" s="6">
        <v>33</v>
      </c>
      <c r="G60" s="6" t="s">
        <v>169</v>
      </c>
      <c r="H60" s="6">
        <v>18</v>
      </c>
      <c r="I60" s="6" t="s">
        <v>170</v>
      </c>
      <c r="J60" s="6">
        <v>20</v>
      </c>
      <c r="K60" s="6">
        <v>201</v>
      </c>
      <c r="L60" s="6">
        <v>17</v>
      </c>
      <c r="M60" s="6">
        <v>0</v>
      </c>
      <c r="N60" s="6">
        <v>15.25</v>
      </c>
      <c r="O60" s="7">
        <f t="shared" si="0"/>
        <v>2827.7711864406783</v>
      </c>
      <c r="P60" s="6">
        <v>3336.77</v>
      </c>
      <c r="Q60" s="6"/>
    </row>
    <row r="61" spans="1:17">
      <c r="A61" s="4">
        <v>45383</v>
      </c>
      <c r="B61" s="5" t="s">
        <v>310</v>
      </c>
      <c r="C61" s="6" t="s">
        <v>158</v>
      </c>
      <c r="D61" s="6" t="s">
        <v>304</v>
      </c>
      <c r="E61" s="6"/>
      <c r="F61" s="6">
        <v>33</v>
      </c>
      <c r="G61" s="6" t="s">
        <v>90</v>
      </c>
      <c r="H61" s="6">
        <v>18</v>
      </c>
      <c r="I61" s="6" t="s">
        <v>91</v>
      </c>
      <c r="J61" s="6">
        <v>20</v>
      </c>
      <c r="K61" s="6">
        <v>195</v>
      </c>
      <c r="L61" s="6">
        <v>17</v>
      </c>
      <c r="M61" s="6">
        <v>0</v>
      </c>
      <c r="N61" s="6">
        <v>15.25</v>
      </c>
      <c r="O61" s="7">
        <f t="shared" si="0"/>
        <v>2743.3559322033898</v>
      </c>
      <c r="P61" s="6">
        <v>3237.16</v>
      </c>
      <c r="Q61" s="6"/>
    </row>
    <row r="62" spans="1:17">
      <c r="A62" s="4">
        <v>45383</v>
      </c>
      <c r="B62" s="5" t="s">
        <v>310</v>
      </c>
      <c r="C62" s="6" t="s">
        <v>158</v>
      </c>
      <c r="D62" s="6" t="s">
        <v>304</v>
      </c>
      <c r="E62" s="6"/>
      <c r="F62" s="6">
        <v>33</v>
      </c>
      <c r="G62" s="6" t="s">
        <v>88</v>
      </c>
      <c r="H62" s="6">
        <v>18</v>
      </c>
      <c r="I62" s="6" t="s">
        <v>89</v>
      </c>
      <c r="J62" s="6">
        <v>10</v>
      </c>
      <c r="K62" s="6">
        <v>325</v>
      </c>
      <c r="L62" s="6">
        <v>17</v>
      </c>
      <c r="M62" s="6">
        <v>0</v>
      </c>
      <c r="N62" s="6">
        <v>15.25</v>
      </c>
      <c r="O62" s="7">
        <f t="shared" si="0"/>
        <v>2286.1271186440681</v>
      </c>
      <c r="P62" s="6">
        <v>2697.63</v>
      </c>
      <c r="Q62" s="6"/>
    </row>
    <row r="63" spans="1:17">
      <c r="A63" s="4">
        <v>45383</v>
      </c>
      <c r="B63" s="5" t="s">
        <v>310</v>
      </c>
      <c r="C63" s="6" t="s">
        <v>158</v>
      </c>
      <c r="D63" s="6" t="s">
        <v>304</v>
      </c>
      <c r="E63" s="6"/>
      <c r="F63" s="6">
        <v>33</v>
      </c>
      <c r="G63" s="6" t="s">
        <v>34</v>
      </c>
      <c r="H63" s="6">
        <v>18</v>
      </c>
      <c r="I63" s="6" t="s">
        <v>35</v>
      </c>
      <c r="J63" s="6">
        <v>1000</v>
      </c>
      <c r="K63" s="6">
        <v>13</v>
      </c>
      <c r="L63" s="6">
        <v>0</v>
      </c>
      <c r="M63" s="6">
        <v>0</v>
      </c>
      <c r="N63" s="6">
        <v>15.25</v>
      </c>
      <c r="O63" s="7">
        <f t="shared" si="0"/>
        <v>11017.508474576272</v>
      </c>
      <c r="P63" s="6">
        <v>13000.66</v>
      </c>
      <c r="Q63" s="6"/>
    </row>
    <row r="64" spans="1:17">
      <c r="A64" s="4">
        <v>45383</v>
      </c>
      <c r="B64" s="5" t="s">
        <v>307</v>
      </c>
      <c r="C64" s="6" t="s">
        <v>58</v>
      </c>
      <c r="D64" s="6" t="s">
        <v>304</v>
      </c>
      <c r="E64" s="6"/>
      <c r="F64" s="6">
        <v>34</v>
      </c>
      <c r="G64" s="6" t="s">
        <v>54</v>
      </c>
      <c r="H64" s="6">
        <v>18</v>
      </c>
      <c r="I64" s="6" t="s">
        <v>55</v>
      </c>
      <c r="J64" s="6">
        <v>42</v>
      </c>
      <c r="K64" s="6">
        <v>12.65</v>
      </c>
      <c r="L64" s="6">
        <v>17</v>
      </c>
      <c r="M64" s="6">
        <v>0</v>
      </c>
      <c r="N64" s="6">
        <v>15.25</v>
      </c>
      <c r="O64" s="7">
        <f t="shared" si="0"/>
        <v>373.73728813559325</v>
      </c>
      <c r="P64" s="6">
        <v>441.01</v>
      </c>
      <c r="Q64" s="6"/>
    </row>
    <row r="65" spans="1:17">
      <c r="A65" s="4">
        <v>45383</v>
      </c>
      <c r="B65" s="5" t="s">
        <v>307</v>
      </c>
      <c r="C65" s="6" t="s">
        <v>58</v>
      </c>
      <c r="D65" s="6" t="s">
        <v>304</v>
      </c>
      <c r="E65" s="6"/>
      <c r="F65" s="6">
        <v>34</v>
      </c>
      <c r="G65" s="6" t="s">
        <v>56</v>
      </c>
      <c r="H65" s="6">
        <v>18</v>
      </c>
      <c r="I65" s="6" t="s">
        <v>57</v>
      </c>
      <c r="J65" s="6">
        <v>2</v>
      </c>
      <c r="K65" s="6">
        <v>4.6500000000000004</v>
      </c>
      <c r="L65" s="6">
        <v>17</v>
      </c>
      <c r="M65" s="6">
        <v>0</v>
      </c>
      <c r="N65" s="6">
        <v>15.25</v>
      </c>
      <c r="O65" s="7">
        <f t="shared" si="0"/>
        <v>6.5423728813559325</v>
      </c>
      <c r="P65" s="6">
        <v>7.72</v>
      </c>
      <c r="Q65" s="6"/>
    </row>
    <row r="66" spans="1:17">
      <c r="A66" s="4">
        <v>45383</v>
      </c>
      <c r="B66" s="5" t="s">
        <v>310</v>
      </c>
      <c r="C66" s="6" t="s">
        <v>158</v>
      </c>
      <c r="D66" s="6" t="s">
        <v>304</v>
      </c>
      <c r="E66" s="6"/>
      <c r="F66" s="6">
        <v>35</v>
      </c>
      <c r="G66" s="6" t="s">
        <v>26</v>
      </c>
      <c r="H66" s="6">
        <v>18</v>
      </c>
      <c r="I66" s="6" t="s">
        <v>27</v>
      </c>
      <c r="J66" s="6">
        <v>112</v>
      </c>
      <c r="K66" s="6">
        <v>41.25</v>
      </c>
      <c r="L66" s="6">
        <v>17</v>
      </c>
      <c r="M66" s="6">
        <v>0</v>
      </c>
      <c r="N66" s="6">
        <v>15.25</v>
      </c>
      <c r="O66" s="7">
        <f t="shared" si="0"/>
        <v>3249.8135593220341</v>
      </c>
      <c r="P66" s="6">
        <v>3834.78</v>
      </c>
      <c r="Q66" s="6"/>
    </row>
    <row r="67" spans="1:17">
      <c r="A67" s="4">
        <v>45383</v>
      </c>
      <c r="B67" s="5" t="s">
        <v>310</v>
      </c>
      <c r="C67" s="6" t="s">
        <v>158</v>
      </c>
      <c r="D67" s="6" t="s">
        <v>304</v>
      </c>
      <c r="E67" s="6"/>
      <c r="F67" s="6">
        <v>35</v>
      </c>
      <c r="G67" s="6" t="s">
        <v>56</v>
      </c>
      <c r="H67" s="6">
        <v>18</v>
      </c>
      <c r="I67" s="6" t="s">
        <v>57</v>
      </c>
      <c r="J67" s="6">
        <v>4</v>
      </c>
      <c r="K67" s="6">
        <v>4.6500000000000004</v>
      </c>
      <c r="L67" s="6">
        <v>17</v>
      </c>
      <c r="M67" s="6">
        <v>0</v>
      </c>
      <c r="N67" s="6">
        <v>15.25</v>
      </c>
      <c r="O67" s="7">
        <f t="shared" ref="O67:O130" si="1">P67/1.18</f>
        <v>13.09322033898305</v>
      </c>
      <c r="P67" s="6">
        <v>15.45</v>
      </c>
      <c r="Q67" s="6"/>
    </row>
    <row r="68" spans="1:17">
      <c r="A68" s="4">
        <v>45383</v>
      </c>
      <c r="B68" s="5" t="s">
        <v>311</v>
      </c>
      <c r="C68" s="6" t="s">
        <v>171</v>
      </c>
      <c r="D68" s="6" t="s">
        <v>304</v>
      </c>
      <c r="E68" s="6"/>
      <c r="F68" s="6">
        <v>36</v>
      </c>
      <c r="G68" s="6" t="s">
        <v>172</v>
      </c>
      <c r="H68" s="6">
        <v>18</v>
      </c>
      <c r="I68" s="6" t="s">
        <v>173</v>
      </c>
      <c r="J68" s="6">
        <v>8</v>
      </c>
      <c r="K68" s="6">
        <v>201</v>
      </c>
      <c r="L68" s="6">
        <v>17</v>
      </c>
      <c r="M68" s="6">
        <v>0</v>
      </c>
      <c r="N68" s="6">
        <v>15.25</v>
      </c>
      <c r="O68" s="7">
        <f t="shared" si="1"/>
        <v>1131.1101694915255</v>
      </c>
      <c r="P68" s="6">
        <v>1334.71</v>
      </c>
      <c r="Q68" s="6"/>
    </row>
    <row r="69" spans="1:17">
      <c r="A69" s="4">
        <v>45383</v>
      </c>
      <c r="B69" s="5" t="s">
        <v>311</v>
      </c>
      <c r="C69" s="6" t="s">
        <v>171</v>
      </c>
      <c r="D69" s="6" t="s">
        <v>304</v>
      </c>
      <c r="E69" s="6"/>
      <c r="F69" s="6">
        <v>36</v>
      </c>
      <c r="G69" s="6" t="s">
        <v>138</v>
      </c>
      <c r="H69" s="6">
        <v>18</v>
      </c>
      <c r="I69" s="6" t="s">
        <v>139</v>
      </c>
      <c r="J69" s="6">
        <v>20</v>
      </c>
      <c r="K69" s="6">
        <v>102.5</v>
      </c>
      <c r="L69" s="6">
        <v>17</v>
      </c>
      <c r="M69" s="6">
        <v>0</v>
      </c>
      <c r="N69" s="6">
        <v>15.25</v>
      </c>
      <c r="O69" s="7">
        <f t="shared" si="1"/>
        <v>1442.0169491525423</v>
      </c>
      <c r="P69" s="6">
        <v>1701.58</v>
      </c>
      <c r="Q69" s="6"/>
    </row>
    <row r="70" spans="1:17">
      <c r="A70" s="4">
        <v>45383</v>
      </c>
      <c r="B70" s="5" t="s">
        <v>311</v>
      </c>
      <c r="C70" s="6" t="s">
        <v>171</v>
      </c>
      <c r="D70" s="6" t="s">
        <v>304</v>
      </c>
      <c r="E70" s="6"/>
      <c r="F70" s="6">
        <v>36</v>
      </c>
      <c r="G70" s="6" t="s">
        <v>174</v>
      </c>
      <c r="H70" s="6">
        <v>18</v>
      </c>
      <c r="I70" s="6" t="s">
        <v>175</v>
      </c>
      <c r="J70" s="6">
        <v>20</v>
      </c>
      <c r="K70" s="6">
        <v>155.25</v>
      </c>
      <c r="L70" s="6">
        <v>17</v>
      </c>
      <c r="M70" s="6">
        <v>0</v>
      </c>
      <c r="N70" s="6">
        <v>15.25</v>
      </c>
      <c r="O70" s="7">
        <f t="shared" si="1"/>
        <v>2184.1271186440681</v>
      </c>
      <c r="P70" s="6">
        <v>2577.27</v>
      </c>
      <c r="Q70" s="6"/>
    </row>
    <row r="71" spans="1:17">
      <c r="A71" s="4">
        <v>45383</v>
      </c>
      <c r="B71" s="5" t="s">
        <v>311</v>
      </c>
      <c r="C71" s="6" t="s">
        <v>171</v>
      </c>
      <c r="D71" s="6" t="s">
        <v>304</v>
      </c>
      <c r="E71" s="6"/>
      <c r="F71" s="6">
        <v>36</v>
      </c>
      <c r="G71" s="6" t="s">
        <v>62</v>
      </c>
      <c r="H71" s="6">
        <v>18</v>
      </c>
      <c r="I71" s="6" t="s">
        <v>63</v>
      </c>
      <c r="J71" s="6">
        <v>10</v>
      </c>
      <c r="K71" s="6">
        <v>89</v>
      </c>
      <c r="L71" s="6">
        <v>17</v>
      </c>
      <c r="M71" s="6">
        <v>0</v>
      </c>
      <c r="N71" s="6">
        <v>15.25</v>
      </c>
      <c r="O71" s="7">
        <f t="shared" si="1"/>
        <v>626.04237288135596</v>
      </c>
      <c r="P71" s="6">
        <v>738.73</v>
      </c>
      <c r="Q71" s="6"/>
    </row>
    <row r="72" spans="1:17">
      <c r="A72" s="4">
        <v>45383</v>
      </c>
      <c r="B72" s="5" t="s">
        <v>311</v>
      </c>
      <c r="C72" s="6" t="s">
        <v>171</v>
      </c>
      <c r="D72" s="6" t="s">
        <v>304</v>
      </c>
      <c r="E72" s="6"/>
      <c r="F72" s="6">
        <v>36</v>
      </c>
      <c r="G72" s="6" t="s">
        <v>70</v>
      </c>
      <c r="H72" s="6">
        <v>18</v>
      </c>
      <c r="I72" s="6" t="s">
        <v>71</v>
      </c>
      <c r="J72" s="6">
        <v>10</v>
      </c>
      <c r="K72" s="6">
        <v>320</v>
      </c>
      <c r="L72" s="6">
        <v>17</v>
      </c>
      <c r="M72" s="6">
        <v>0</v>
      </c>
      <c r="N72" s="6">
        <v>15.25</v>
      </c>
      <c r="O72" s="7">
        <f t="shared" si="1"/>
        <v>2250.9661016949153</v>
      </c>
      <c r="P72" s="6">
        <v>2656.14</v>
      </c>
      <c r="Q72" s="6"/>
    </row>
    <row r="73" spans="1:17">
      <c r="A73" s="4">
        <v>45383</v>
      </c>
      <c r="B73" s="5" t="s">
        <v>311</v>
      </c>
      <c r="C73" s="6" t="s">
        <v>171</v>
      </c>
      <c r="D73" s="6" t="s">
        <v>304</v>
      </c>
      <c r="E73" s="6"/>
      <c r="F73" s="6">
        <v>36</v>
      </c>
      <c r="G73" s="6" t="s">
        <v>68</v>
      </c>
      <c r="H73" s="6">
        <v>18</v>
      </c>
      <c r="I73" s="6" t="s">
        <v>69</v>
      </c>
      <c r="J73" s="6">
        <v>10</v>
      </c>
      <c r="K73" s="6">
        <v>188.5</v>
      </c>
      <c r="L73" s="6">
        <v>17</v>
      </c>
      <c r="M73" s="6">
        <v>0</v>
      </c>
      <c r="N73" s="6">
        <v>15.25</v>
      </c>
      <c r="O73" s="7">
        <f t="shared" si="1"/>
        <v>1325.9661016949153</v>
      </c>
      <c r="P73" s="6">
        <v>1564.64</v>
      </c>
      <c r="Q73" s="6"/>
    </row>
    <row r="74" spans="1:17">
      <c r="A74" s="4">
        <v>45383</v>
      </c>
      <c r="B74" s="5" t="s">
        <v>311</v>
      </c>
      <c r="C74" s="6" t="s">
        <v>171</v>
      </c>
      <c r="D74" s="6" t="s">
        <v>304</v>
      </c>
      <c r="E74" s="6"/>
      <c r="F74" s="6">
        <v>36</v>
      </c>
      <c r="G74" s="6" t="s">
        <v>72</v>
      </c>
      <c r="H74" s="6">
        <v>18</v>
      </c>
      <c r="I74" s="6" t="s">
        <v>73</v>
      </c>
      <c r="J74" s="6">
        <v>10</v>
      </c>
      <c r="K74" s="6">
        <v>227.5</v>
      </c>
      <c r="L74" s="6">
        <v>17</v>
      </c>
      <c r="M74" s="6">
        <v>0</v>
      </c>
      <c r="N74" s="6">
        <v>15.25</v>
      </c>
      <c r="O74" s="7">
        <f t="shared" si="1"/>
        <v>1600.2966101694915</v>
      </c>
      <c r="P74" s="6">
        <v>1888.35</v>
      </c>
      <c r="Q74" s="6"/>
    </row>
    <row r="75" spans="1:17">
      <c r="A75" s="4">
        <v>45383</v>
      </c>
      <c r="B75" s="5" t="s">
        <v>311</v>
      </c>
      <c r="C75" s="6" t="s">
        <v>171</v>
      </c>
      <c r="D75" s="6" t="s">
        <v>304</v>
      </c>
      <c r="E75" s="6"/>
      <c r="F75" s="6">
        <v>36</v>
      </c>
      <c r="G75" s="6" t="s">
        <v>52</v>
      </c>
      <c r="H75" s="6">
        <v>18</v>
      </c>
      <c r="I75" s="6" t="s">
        <v>53</v>
      </c>
      <c r="J75" s="6">
        <v>100</v>
      </c>
      <c r="K75" s="6">
        <v>23</v>
      </c>
      <c r="L75" s="6">
        <v>17</v>
      </c>
      <c r="M75" s="6">
        <v>0</v>
      </c>
      <c r="N75" s="6">
        <v>15.25</v>
      </c>
      <c r="O75" s="7">
        <f t="shared" si="1"/>
        <v>1617.8813559322034</v>
      </c>
      <c r="P75" s="6">
        <v>1909.1</v>
      </c>
      <c r="Q75" s="6"/>
    </row>
    <row r="76" spans="1:17">
      <c r="A76" s="4">
        <v>45383</v>
      </c>
      <c r="B76" s="5" t="s">
        <v>311</v>
      </c>
      <c r="C76" s="6" t="s">
        <v>171</v>
      </c>
      <c r="D76" s="6" t="s">
        <v>304</v>
      </c>
      <c r="E76" s="6"/>
      <c r="F76" s="6">
        <v>36</v>
      </c>
      <c r="G76" s="6" t="s">
        <v>176</v>
      </c>
      <c r="H76" s="6">
        <v>18</v>
      </c>
      <c r="I76" s="6" t="s">
        <v>177</v>
      </c>
      <c r="J76" s="6">
        <v>5</v>
      </c>
      <c r="K76" s="6">
        <v>98.5</v>
      </c>
      <c r="L76" s="6">
        <v>17</v>
      </c>
      <c r="M76" s="6">
        <v>0</v>
      </c>
      <c r="N76" s="6">
        <v>15.25</v>
      </c>
      <c r="O76" s="7">
        <f t="shared" si="1"/>
        <v>346.4406779661017</v>
      </c>
      <c r="P76" s="6">
        <v>408.8</v>
      </c>
      <c r="Q76" s="6"/>
    </row>
    <row r="77" spans="1:17">
      <c r="A77" s="4">
        <v>45383</v>
      </c>
      <c r="B77" s="5" t="s">
        <v>311</v>
      </c>
      <c r="C77" s="6" t="s">
        <v>171</v>
      </c>
      <c r="D77" s="6" t="s">
        <v>304</v>
      </c>
      <c r="E77" s="6"/>
      <c r="F77" s="6">
        <v>36</v>
      </c>
      <c r="G77" s="6" t="s">
        <v>178</v>
      </c>
      <c r="H77" s="6">
        <v>18</v>
      </c>
      <c r="I77" s="6" t="s">
        <v>179</v>
      </c>
      <c r="J77" s="6">
        <v>5</v>
      </c>
      <c r="K77" s="6">
        <v>98.5</v>
      </c>
      <c r="L77" s="6">
        <v>17</v>
      </c>
      <c r="M77" s="6">
        <v>0</v>
      </c>
      <c r="N77" s="6">
        <v>15.25</v>
      </c>
      <c r="O77" s="7">
        <f t="shared" si="1"/>
        <v>346.4406779661017</v>
      </c>
      <c r="P77" s="6">
        <v>408.8</v>
      </c>
      <c r="Q77" s="6"/>
    </row>
    <row r="78" spans="1:17">
      <c r="A78" s="4">
        <v>45383</v>
      </c>
      <c r="B78" s="5" t="s">
        <v>311</v>
      </c>
      <c r="C78" s="6" t="s">
        <v>171</v>
      </c>
      <c r="D78" s="6" t="s">
        <v>304</v>
      </c>
      <c r="E78" s="6"/>
      <c r="F78" s="6">
        <v>36</v>
      </c>
      <c r="G78" s="6" t="s">
        <v>76</v>
      </c>
      <c r="H78" s="6">
        <v>18</v>
      </c>
      <c r="I78" s="6" t="s">
        <v>77</v>
      </c>
      <c r="J78" s="6">
        <v>4</v>
      </c>
      <c r="K78" s="6">
        <v>121.75</v>
      </c>
      <c r="L78" s="6">
        <v>17</v>
      </c>
      <c r="M78" s="6">
        <v>0</v>
      </c>
      <c r="N78" s="6">
        <v>15.25</v>
      </c>
      <c r="O78" s="7">
        <f t="shared" si="1"/>
        <v>342.56779661016952</v>
      </c>
      <c r="P78" s="6">
        <v>404.23</v>
      </c>
      <c r="Q78" s="6"/>
    </row>
    <row r="79" spans="1:17">
      <c r="A79" s="4">
        <v>45383</v>
      </c>
      <c r="B79" s="5" t="s">
        <v>311</v>
      </c>
      <c r="C79" s="6" t="s">
        <v>171</v>
      </c>
      <c r="D79" s="6" t="s">
        <v>304</v>
      </c>
      <c r="E79" s="6"/>
      <c r="F79" s="6">
        <v>36</v>
      </c>
      <c r="G79" s="6" t="s">
        <v>80</v>
      </c>
      <c r="H79" s="6">
        <v>18</v>
      </c>
      <c r="I79" s="6" t="s">
        <v>81</v>
      </c>
      <c r="J79" s="6">
        <v>5</v>
      </c>
      <c r="K79" s="6">
        <v>206.75</v>
      </c>
      <c r="L79" s="6">
        <v>17</v>
      </c>
      <c r="M79" s="6">
        <v>0</v>
      </c>
      <c r="N79" s="6">
        <v>15.25</v>
      </c>
      <c r="O79" s="7">
        <f t="shared" si="1"/>
        <v>727.15254237288138</v>
      </c>
      <c r="P79" s="6">
        <v>858.04</v>
      </c>
      <c r="Q79" s="6"/>
    </row>
    <row r="80" spans="1:17">
      <c r="A80" s="4">
        <v>45383</v>
      </c>
      <c r="B80" s="5" t="s">
        <v>311</v>
      </c>
      <c r="C80" s="6" t="s">
        <v>171</v>
      </c>
      <c r="D80" s="6" t="s">
        <v>304</v>
      </c>
      <c r="E80" s="6"/>
      <c r="F80" s="6">
        <v>36</v>
      </c>
      <c r="G80" s="6" t="s">
        <v>82</v>
      </c>
      <c r="H80" s="6">
        <v>18</v>
      </c>
      <c r="I80" s="6" t="s">
        <v>83</v>
      </c>
      <c r="J80" s="6">
        <v>4</v>
      </c>
      <c r="K80" s="6">
        <v>283</v>
      </c>
      <c r="L80" s="6">
        <v>17</v>
      </c>
      <c r="M80" s="6">
        <v>0</v>
      </c>
      <c r="N80" s="6">
        <v>15.25</v>
      </c>
      <c r="O80" s="7">
        <f t="shared" si="1"/>
        <v>796.28813559322043</v>
      </c>
      <c r="P80" s="6">
        <v>939.62</v>
      </c>
      <c r="Q80" s="6"/>
    </row>
    <row r="81" spans="1:17">
      <c r="A81" s="4">
        <v>45383</v>
      </c>
      <c r="B81" s="5" t="s">
        <v>311</v>
      </c>
      <c r="C81" s="6" t="s">
        <v>171</v>
      </c>
      <c r="D81" s="6" t="s">
        <v>304</v>
      </c>
      <c r="E81" s="6"/>
      <c r="F81" s="6">
        <v>36</v>
      </c>
      <c r="G81" s="6" t="s">
        <v>84</v>
      </c>
      <c r="H81" s="6">
        <v>18</v>
      </c>
      <c r="I81" s="6" t="s">
        <v>85</v>
      </c>
      <c r="J81" s="6">
        <v>3</v>
      </c>
      <c r="K81" s="6">
        <v>377</v>
      </c>
      <c r="L81" s="6">
        <v>17</v>
      </c>
      <c r="M81" s="6">
        <v>0</v>
      </c>
      <c r="N81" s="6">
        <v>15.25</v>
      </c>
      <c r="O81" s="7">
        <f t="shared" si="1"/>
        <v>795.56779661016947</v>
      </c>
      <c r="P81" s="6">
        <v>938.77</v>
      </c>
      <c r="Q81" s="6"/>
    </row>
    <row r="82" spans="1:17">
      <c r="A82" s="4">
        <v>45383</v>
      </c>
      <c r="B82" s="5" t="s">
        <v>311</v>
      </c>
      <c r="C82" s="6" t="s">
        <v>171</v>
      </c>
      <c r="D82" s="6" t="s">
        <v>304</v>
      </c>
      <c r="E82" s="6"/>
      <c r="F82" s="6">
        <v>36</v>
      </c>
      <c r="G82" s="6" t="s">
        <v>180</v>
      </c>
      <c r="H82" s="6">
        <v>18</v>
      </c>
      <c r="I82" s="6" t="s">
        <v>181</v>
      </c>
      <c r="J82" s="6">
        <v>19</v>
      </c>
      <c r="K82" s="6">
        <v>31</v>
      </c>
      <c r="L82" s="6">
        <v>17</v>
      </c>
      <c r="M82" s="6">
        <v>0</v>
      </c>
      <c r="N82" s="6">
        <v>15.25</v>
      </c>
      <c r="O82" s="7">
        <f t="shared" si="1"/>
        <v>414.32203389830511</v>
      </c>
      <c r="P82" s="6">
        <v>488.9</v>
      </c>
      <c r="Q82" s="6"/>
    </row>
    <row r="83" spans="1:17">
      <c r="A83" s="4">
        <v>45383</v>
      </c>
      <c r="B83" s="5" t="s">
        <v>311</v>
      </c>
      <c r="C83" s="6" t="s">
        <v>171</v>
      </c>
      <c r="D83" s="6" t="s">
        <v>304</v>
      </c>
      <c r="E83" s="6"/>
      <c r="F83" s="6">
        <v>36</v>
      </c>
      <c r="G83" s="6" t="s">
        <v>182</v>
      </c>
      <c r="H83" s="6">
        <v>18</v>
      </c>
      <c r="I83" s="6" t="s">
        <v>183</v>
      </c>
      <c r="J83" s="6">
        <v>10</v>
      </c>
      <c r="K83" s="6">
        <v>31</v>
      </c>
      <c r="L83" s="6">
        <v>17</v>
      </c>
      <c r="M83" s="6">
        <v>0</v>
      </c>
      <c r="N83" s="6">
        <v>15.25</v>
      </c>
      <c r="O83" s="7">
        <f t="shared" si="1"/>
        <v>218.06779661016949</v>
      </c>
      <c r="P83" s="6">
        <v>257.32</v>
      </c>
      <c r="Q83" s="6"/>
    </row>
    <row r="84" spans="1:17">
      <c r="A84" s="4">
        <v>45383</v>
      </c>
      <c r="B84" s="5" t="s">
        <v>311</v>
      </c>
      <c r="C84" s="6" t="s">
        <v>171</v>
      </c>
      <c r="D84" s="6" t="s">
        <v>304</v>
      </c>
      <c r="E84" s="6"/>
      <c r="F84" s="6">
        <v>36</v>
      </c>
      <c r="G84" s="6" t="s">
        <v>184</v>
      </c>
      <c r="H84" s="6">
        <v>18</v>
      </c>
      <c r="I84" s="6" t="s">
        <v>185</v>
      </c>
      <c r="J84" s="6">
        <v>14</v>
      </c>
      <c r="K84" s="6">
        <v>37.5</v>
      </c>
      <c r="L84" s="6">
        <v>17</v>
      </c>
      <c r="M84" s="6">
        <v>0</v>
      </c>
      <c r="N84" s="6">
        <v>15.25</v>
      </c>
      <c r="O84" s="7">
        <f t="shared" si="1"/>
        <v>369.30508474576271</v>
      </c>
      <c r="P84" s="6">
        <v>435.78</v>
      </c>
      <c r="Q84" s="6"/>
    </row>
    <row r="85" spans="1:17">
      <c r="A85" s="4">
        <v>45383</v>
      </c>
      <c r="B85" s="5" t="s">
        <v>311</v>
      </c>
      <c r="C85" s="6" t="s">
        <v>171</v>
      </c>
      <c r="D85" s="6" t="s">
        <v>304</v>
      </c>
      <c r="E85" s="6"/>
      <c r="F85" s="6">
        <v>36</v>
      </c>
      <c r="G85" s="6" t="s">
        <v>186</v>
      </c>
      <c r="H85" s="6">
        <v>18</v>
      </c>
      <c r="I85" s="6" t="s">
        <v>187</v>
      </c>
      <c r="J85" s="6">
        <v>19</v>
      </c>
      <c r="K85" s="6">
        <v>67.5</v>
      </c>
      <c r="L85" s="6">
        <v>17</v>
      </c>
      <c r="M85" s="6">
        <v>0</v>
      </c>
      <c r="N85" s="6">
        <v>15.25</v>
      </c>
      <c r="O85" s="7">
        <f t="shared" si="1"/>
        <v>902.14406779661022</v>
      </c>
      <c r="P85" s="6">
        <v>1064.53</v>
      </c>
      <c r="Q85" s="6"/>
    </row>
    <row r="86" spans="1:17">
      <c r="A86" s="4">
        <v>45383</v>
      </c>
      <c r="B86" s="5" t="s">
        <v>311</v>
      </c>
      <c r="C86" s="6" t="s">
        <v>171</v>
      </c>
      <c r="D86" s="6" t="s">
        <v>304</v>
      </c>
      <c r="E86" s="6"/>
      <c r="F86" s="6">
        <v>36</v>
      </c>
      <c r="G86" s="6" t="s">
        <v>188</v>
      </c>
      <c r="H86" s="6">
        <v>18</v>
      </c>
      <c r="I86" s="6" t="s">
        <v>189</v>
      </c>
      <c r="J86" s="6">
        <v>12</v>
      </c>
      <c r="K86" s="6">
        <v>96</v>
      </c>
      <c r="L86" s="6">
        <v>17</v>
      </c>
      <c r="M86" s="6">
        <v>0</v>
      </c>
      <c r="N86" s="6">
        <v>15.25</v>
      </c>
      <c r="O86" s="7">
        <f t="shared" si="1"/>
        <v>810.34745762711873</v>
      </c>
      <c r="P86" s="6">
        <v>956.21</v>
      </c>
      <c r="Q86" s="6"/>
    </row>
    <row r="87" spans="1:17">
      <c r="A87" s="4">
        <v>45383</v>
      </c>
      <c r="B87" s="5" t="s">
        <v>311</v>
      </c>
      <c r="C87" s="6" t="s">
        <v>171</v>
      </c>
      <c r="D87" s="6" t="s">
        <v>304</v>
      </c>
      <c r="E87" s="6"/>
      <c r="F87" s="6">
        <v>36</v>
      </c>
      <c r="G87" s="6" t="s">
        <v>190</v>
      </c>
      <c r="H87" s="6">
        <v>18</v>
      </c>
      <c r="I87" s="6" t="s">
        <v>191</v>
      </c>
      <c r="J87" s="6">
        <v>17</v>
      </c>
      <c r="K87" s="6">
        <v>61</v>
      </c>
      <c r="L87" s="6">
        <v>17</v>
      </c>
      <c r="M87" s="6">
        <v>0</v>
      </c>
      <c r="N87" s="6">
        <v>15.25</v>
      </c>
      <c r="O87" s="7">
        <f t="shared" si="1"/>
        <v>729.44915254237287</v>
      </c>
      <c r="P87" s="6">
        <v>860.75</v>
      </c>
      <c r="Q87" s="6"/>
    </row>
    <row r="88" spans="1:17">
      <c r="A88" s="4">
        <v>45383</v>
      </c>
      <c r="B88" s="5" t="s">
        <v>311</v>
      </c>
      <c r="C88" s="6" t="s">
        <v>171</v>
      </c>
      <c r="D88" s="6" t="s">
        <v>304</v>
      </c>
      <c r="E88" s="6"/>
      <c r="F88" s="6">
        <v>36</v>
      </c>
      <c r="G88" s="6" t="s">
        <v>192</v>
      </c>
      <c r="H88" s="6">
        <v>18</v>
      </c>
      <c r="I88" s="6" t="s">
        <v>193</v>
      </c>
      <c r="J88" s="6">
        <v>60</v>
      </c>
      <c r="K88" s="6">
        <v>20.75</v>
      </c>
      <c r="L88" s="6">
        <v>17</v>
      </c>
      <c r="M88" s="6">
        <v>0</v>
      </c>
      <c r="N88" s="6">
        <v>15.25</v>
      </c>
      <c r="O88" s="7">
        <f t="shared" si="1"/>
        <v>875.76271186440692</v>
      </c>
      <c r="P88" s="6">
        <v>1033.4000000000001</v>
      </c>
      <c r="Q88" s="6"/>
    </row>
    <row r="89" spans="1:17">
      <c r="A89" s="4">
        <v>45383</v>
      </c>
      <c r="B89" s="5" t="s">
        <v>311</v>
      </c>
      <c r="C89" s="6" t="s">
        <v>171</v>
      </c>
      <c r="D89" s="6" t="s">
        <v>304</v>
      </c>
      <c r="E89" s="6"/>
      <c r="F89" s="6">
        <v>36</v>
      </c>
      <c r="G89" s="6" t="s">
        <v>194</v>
      </c>
      <c r="H89" s="6">
        <v>18</v>
      </c>
      <c r="I89" s="6" t="s">
        <v>195</v>
      </c>
      <c r="J89" s="6">
        <v>48</v>
      </c>
      <c r="K89" s="6">
        <v>31</v>
      </c>
      <c r="L89" s="6">
        <v>17</v>
      </c>
      <c r="M89" s="6">
        <v>0</v>
      </c>
      <c r="N89" s="6">
        <v>15.25</v>
      </c>
      <c r="O89" s="7">
        <f t="shared" si="1"/>
        <v>1046.6949152542372</v>
      </c>
      <c r="P89" s="6">
        <v>1235.0999999999999</v>
      </c>
      <c r="Q89" s="6"/>
    </row>
    <row r="90" spans="1:17">
      <c r="A90" s="4">
        <v>45383</v>
      </c>
      <c r="B90" s="5" t="s">
        <v>311</v>
      </c>
      <c r="C90" s="6" t="s">
        <v>171</v>
      </c>
      <c r="D90" s="6" t="s">
        <v>304</v>
      </c>
      <c r="E90" s="6"/>
      <c r="F90" s="6">
        <v>36</v>
      </c>
      <c r="G90" s="6" t="s">
        <v>196</v>
      </c>
      <c r="H90" s="6">
        <v>18</v>
      </c>
      <c r="I90" s="6" t="s">
        <v>197</v>
      </c>
      <c r="J90" s="6">
        <v>41</v>
      </c>
      <c r="K90" s="6">
        <v>31</v>
      </c>
      <c r="L90" s="6">
        <v>17</v>
      </c>
      <c r="M90" s="6">
        <v>0</v>
      </c>
      <c r="N90" s="6">
        <v>15.25</v>
      </c>
      <c r="O90" s="7">
        <f t="shared" si="1"/>
        <v>894.04237288135596</v>
      </c>
      <c r="P90" s="6">
        <v>1054.97</v>
      </c>
      <c r="Q90" s="6"/>
    </row>
    <row r="91" spans="1:17">
      <c r="A91" s="4">
        <v>45383</v>
      </c>
      <c r="B91" s="5" t="s">
        <v>311</v>
      </c>
      <c r="C91" s="6" t="s">
        <v>171</v>
      </c>
      <c r="D91" s="6" t="s">
        <v>304</v>
      </c>
      <c r="E91" s="6"/>
      <c r="F91" s="6">
        <v>36</v>
      </c>
      <c r="G91" s="6" t="s">
        <v>198</v>
      </c>
      <c r="H91" s="6">
        <v>18</v>
      </c>
      <c r="I91" s="6" t="s">
        <v>199</v>
      </c>
      <c r="J91" s="6">
        <v>25</v>
      </c>
      <c r="K91" s="6">
        <v>64.75</v>
      </c>
      <c r="L91" s="6">
        <v>17</v>
      </c>
      <c r="M91" s="6">
        <v>8</v>
      </c>
      <c r="N91" s="6">
        <v>15.25</v>
      </c>
      <c r="O91" s="7">
        <f t="shared" si="1"/>
        <v>1047.5762711864409</v>
      </c>
      <c r="P91" s="6">
        <v>1236.1400000000001</v>
      </c>
      <c r="Q91" s="6"/>
    </row>
    <row r="92" spans="1:17">
      <c r="A92" s="4">
        <v>45383</v>
      </c>
      <c r="B92" s="5" t="s">
        <v>311</v>
      </c>
      <c r="C92" s="6" t="s">
        <v>171</v>
      </c>
      <c r="D92" s="6" t="s">
        <v>304</v>
      </c>
      <c r="E92" s="6"/>
      <c r="F92" s="6">
        <v>36</v>
      </c>
      <c r="G92" s="6" t="s">
        <v>200</v>
      </c>
      <c r="H92" s="6">
        <v>18</v>
      </c>
      <c r="I92" s="6" t="s">
        <v>201</v>
      </c>
      <c r="J92" s="6">
        <v>10</v>
      </c>
      <c r="K92" s="6">
        <v>133.25</v>
      </c>
      <c r="L92" s="6">
        <v>17</v>
      </c>
      <c r="M92" s="6">
        <v>8</v>
      </c>
      <c r="N92" s="6">
        <v>15.25</v>
      </c>
      <c r="O92" s="7">
        <f t="shared" si="1"/>
        <v>862.33050847457628</v>
      </c>
      <c r="P92" s="6">
        <v>1017.55</v>
      </c>
      <c r="Q92" s="6"/>
    </row>
    <row r="93" spans="1:17">
      <c r="A93" s="4">
        <v>45383</v>
      </c>
      <c r="B93" s="5" t="s">
        <v>311</v>
      </c>
      <c r="C93" s="6" t="s">
        <v>171</v>
      </c>
      <c r="D93" s="6" t="s">
        <v>304</v>
      </c>
      <c r="E93" s="6"/>
      <c r="F93" s="6">
        <v>36</v>
      </c>
      <c r="G93" s="6" t="s">
        <v>202</v>
      </c>
      <c r="H93" s="6">
        <v>18</v>
      </c>
      <c r="I93" s="6" t="s">
        <v>203</v>
      </c>
      <c r="J93" s="6">
        <v>3</v>
      </c>
      <c r="K93" s="6">
        <v>1220</v>
      </c>
      <c r="L93" s="6">
        <v>17</v>
      </c>
      <c r="M93" s="6">
        <v>0</v>
      </c>
      <c r="N93" s="6">
        <v>15.25</v>
      </c>
      <c r="O93" s="7">
        <f t="shared" si="1"/>
        <v>2574.5423728813562</v>
      </c>
      <c r="P93" s="6">
        <v>3037.96</v>
      </c>
      <c r="Q93" s="6"/>
    </row>
    <row r="94" spans="1:17">
      <c r="A94" s="4">
        <v>45383</v>
      </c>
      <c r="B94" s="5" t="s">
        <v>311</v>
      </c>
      <c r="C94" s="6" t="s">
        <v>171</v>
      </c>
      <c r="D94" s="6" t="s">
        <v>304</v>
      </c>
      <c r="E94" s="6"/>
      <c r="F94" s="6">
        <v>36</v>
      </c>
      <c r="G94" s="6" t="s">
        <v>204</v>
      </c>
      <c r="H94" s="6">
        <v>18</v>
      </c>
      <c r="I94" s="6" t="s">
        <v>205</v>
      </c>
      <c r="J94" s="6">
        <v>50</v>
      </c>
      <c r="K94" s="6">
        <v>42.5</v>
      </c>
      <c r="L94" s="6">
        <v>17</v>
      </c>
      <c r="M94" s="6">
        <v>0</v>
      </c>
      <c r="N94" s="6">
        <v>15.25</v>
      </c>
      <c r="O94" s="7">
        <f t="shared" si="1"/>
        <v>1494.7796610169491</v>
      </c>
      <c r="P94" s="6">
        <v>1763.84</v>
      </c>
      <c r="Q94" s="6"/>
    </row>
    <row r="95" spans="1:17">
      <c r="A95" s="4">
        <v>45383</v>
      </c>
      <c r="B95" s="5" t="s">
        <v>311</v>
      </c>
      <c r="C95" s="6" t="s">
        <v>171</v>
      </c>
      <c r="D95" s="6" t="s">
        <v>304</v>
      </c>
      <c r="E95" s="6"/>
      <c r="F95" s="6">
        <v>37</v>
      </c>
      <c r="G95" s="6" t="s">
        <v>54</v>
      </c>
      <c r="H95" s="6">
        <v>18</v>
      </c>
      <c r="I95" s="6" t="s">
        <v>55</v>
      </c>
      <c r="J95" s="6">
        <v>445</v>
      </c>
      <c r="K95" s="6">
        <v>12.65</v>
      </c>
      <c r="L95" s="6">
        <v>17</v>
      </c>
      <c r="M95" s="6">
        <v>0</v>
      </c>
      <c r="N95" s="6">
        <v>15.25</v>
      </c>
      <c r="O95" s="7">
        <f t="shared" si="1"/>
        <v>3959.7627118644073</v>
      </c>
      <c r="P95" s="6">
        <v>4672.5200000000004</v>
      </c>
      <c r="Q95" s="6"/>
    </row>
    <row r="96" spans="1:17">
      <c r="A96" s="4">
        <v>45383</v>
      </c>
      <c r="B96" s="5" t="s">
        <v>644</v>
      </c>
      <c r="C96" s="6" t="s">
        <v>206</v>
      </c>
      <c r="D96" s="6" t="s">
        <v>304</v>
      </c>
      <c r="E96" s="6"/>
      <c r="F96" s="6">
        <v>38</v>
      </c>
      <c r="G96" s="6" t="s">
        <v>34</v>
      </c>
      <c r="H96" s="6">
        <v>18</v>
      </c>
      <c r="I96" s="6" t="s">
        <v>35</v>
      </c>
      <c r="J96" s="6">
        <v>1000</v>
      </c>
      <c r="K96" s="6">
        <v>13</v>
      </c>
      <c r="L96" s="6">
        <v>0</v>
      </c>
      <c r="M96" s="6">
        <v>0</v>
      </c>
      <c r="N96" s="6">
        <v>15.25</v>
      </c>
      <c r="O96" s="7">
        <f t="shared" si="1"/>
        <v>11017.508474576272</v>
      </c>
      <c r="P96" s="6">
        <v>13000.66</v>
      </c>
      <c r="Q96" s="6"/>
    </row>
    <row r="97" spans="1:17">
      <c r="A97" s="4">
        <v>45383</v>
      </c>
      <c r="B97" s="5" t="s">
        <v>644</v>
      </c>
      <c r="C97" s="6" t="s">
        <v>206</v>
      </c>
      <c r="D97" s="6" t="s">
        <v>304</v>
      </c>
      <c r="E97" s="6"/>
      <c r="F97" s="6">
        <v>38</v>
      </c>
      <c r="G97" s="6" t="s">
        <v>207</v>
      </c>
      <c r="H97" s="6">
        <v>18</v>
      </c>
      <c r="I97" s="6" t="s">
        <v>208</v>
      </c>
      <c r="J97" s="6">
        <v>600</v>
      </c>
      <c r="K97" s="6">
        <v>29.5</v>
      </c>
      <c r="L97" s="6">
        <v>17</v>
      </c>
      <c r="M97" s="6">
        <v>0</v>
      </c>
      <c r="N97" s="6">
        <v>15.25</v>
      </c>
      <c r="O97" s="7">
        <f t="shared" si="1"/>
        <v>12450.627118644068</v>
      </c>
      <c r="P97" s="6">
        <v>14691.74</v>
      </c>
      <c r="Q97" s="6"/>
    </row>
    <row r="98" spans="1:17">
      <c r="A98" s="4">
        <v>45383</v>
      </c>
      <c r="B98" s="5" t="s">
        <v>644</v>
      </c>
      <c r="C98" s="6" t="s">
        <v>206</v>
      </c>
      <c r="D98" s="6" t="s">
        <v>304</v>
      </c>
      <c r="E98" s="6"/>
      <c r="F98" s="6">
        <v>38</v>
      </c>
      <c r="G98" s="6" t="s">
        <v>36</v>
      </c>
      <c r="H98" s="6">
        <v>18</v>
      </c>
      <c r="I98" s="6" t="s">
        <v>37</v>
      </c>
      <c r="J98" s="6">
        <v>40</v>
      </c>
      <c r="K98" s="6">
        <v>70.5</v>
      </c>
      <c r="L98" s="6">
        <v>17</v>
      </c>
      <c r="M98" s="6">
        <v>0</v>
      </c>
      <c r="N98" s="6">
        <v>15.25</v>
      </c>
      <c r="O98" s="7">
        <f t="shared" si="1"/>
        <v>1983.6610169491526</v>
      </c>
      <c r="P98" s="6">
        <v>2340.7199999999998</v>
      </c>
      <c r="Q98" s="6"/>
    </row>
    <row r="99" spans="1:17">
      <c r="A99" s="4">
        <v>45383</v>
      </c>
      <c r="B99" s="5" t="s">
        <v>644</v>
      </c>
      <c r="C99" s="6" t="s">
        <v>206</v>
      </c>
      <c r="D99" s="6" t="s">
        <v>304</v>
      </c>
      <c r="E99" s="6"/>
      <c r="F99" s="6">
        <v>38</v>
      </c>
      <c r="G99" s="6" t="s">
        <v>209</v>
      </c>
      <c r="H99" s="6">
        <v>18</v>
      </c>
      <c r="I99" s="6" t="s">
        <v>210</v>
      </c>
      <c r="J99" s="6">
        <v>10</v>
      </c>
      <c r="K99" s="6">
        <v>70.5</v>
      </c>
      <c r="L99" s="6">
        <v>17</v>
      </c>
      <c r="M99" s="6">
        <v>0</v>
      </c>
      <c r="N99" s="6">
        <v>15.25</v>
      </c>
      <c r="O99" s="7">
        <f t="shared" si="1"/>
        <v>495.90677966101691</v>
      </c>
      <c r="P99" s="6">
        <v>585.16999999999996</v>
      </c>
      <c r="Q99" s="6"/>
    </row>
    <row r="100" spans="1:17">
      <c r="A100" s="4">
        <v>45383</v>
      </c>
      <c r="B100" s="5" t="s">
        <v>644</v>
      </c>
      <c r="C100" s="6" t="s">
        <v>206</v>
      </c>
      <c r="D100" s="6" t="s">
        <v>304</v>
      </c>
      <c r="E100" s="6"/>
      <c r="F100" s="6">
        <v>38</v>
      </c>
      <c r="G100" s="6" t="s">
        <v>211</v>
      </c>
      <c r="H100" s="6">
        <v>18</v>
      </c>
      <c r="I100" s="6" t="s">
        <v>212</v>
      </c>
      <c r="J100" s="6">
        <v>28</v>
      </c>
      <c r="K100" s="6">
        <v>77.25</v>
      </c>
      <c r="L100" s="6">
        <v>17</v>
      </c>
      <c r="M100" s="6">
        <v>0</v>
      </c>
      <c r="N100" s="6">
        <v>15.25</v>
      </c>
      <c r="O100" s="7">
        <f t="shared" si="1"/>
        <v>1521.5169491525426</v>
      </c>
      <c r="P100" s="6">
        <v>1795.39</v>
      </c>
      <c r="Q100" s="6"/>
    </row>
    <row r="101" spans="1:17">
      <c r="A101" s="4">
        <v>45383</v>
      </c>
      <c r="B101" s="5" t="s">
        <v>644</v>
      </c>
      <c r="C101" s="6" t="s">
        <v>206</v>
      </c>
      <c r="D101" s="6" t="s">
        <v>304</v>
      </c>
      <c r="E101" s="6"/>
      <c r="F101" s="6">
        <v>38</v>
      </c>
      <c r="G101" s="6" t="s">
        <v>213</v>
      </c>
      <c r="H101" s="6">
        <v>18</v>
      </c>
      <c r="I101" s="6" t="s">
        <v>214</v>
      </c>
      <c r="J101" s="6">
        <v>13</v>
      </c>
      <c r="K101" s="6">
        <v>91</v>
      </c>
      <c r="L101" s="6">
        <v>17</v>
      </c>
      <c r="M101" s="6">
        <v>0</v>
      </c>
      <c r="N101" s="6">
        <v>15.25</v>
      </c>
      <c r="O101" s="7">
        <f t="shared" si="1"/>
        <v>832.14406779661022</v>
      </c>
      <c r="P101" s="6">
        <v>981.93</v>
      </c>
      <c r="Q101" s="6"/>
    </row>
    <row r="102" spans="1:17">
      <c r="A102" s="4">
        <v>45383</v>
      </c>
      <c r="B102" s="5" t="s">
        <v>644</v>
      </c>
      <c r="C102" s="6" t="s">
        <v>206</v>
      </c>
      <c r="D102" s="6" t="s">
        <v>304</v>
      </c>
      <c r="E102" s="6"/>
      <c r="F102" s="6">
        <v>38</v>
      </c>
      <c r="G102" s="6" t="s">
        <v>215</v>
      </c>
      <c r="H102" s="6">
        <v>18</v>
      </c>
      <c r="I102" s="6" t="s">
        <v>216</v>
      </c>
      <c r="J102" s="6">
        <v>12</v>
      </c>
      <c r="K102" s="6">
        <v>117.5</v>
      </c>
      <c r="L102" s="6">
        <v>17</v>
      </c>
      <c r="M102" s="6">
        <v>0</v>
      </c>
      <c r="N102" s="6">
        <v>15.25</v>
      </c>
      <c r="O102" s="7">
        <f t="shared" si="1"/>
        <v>991.82203389830511</v>
      </c>
      <c r="P102" s="6">
        <v>1170.3499999999999</v>
      </c>
      <c r="Q102" s="6"/>
    </row>
    <row r="103" spans="1:17">
      <c r="A103" s="4">
        <v>45383</v>
      </c>
      <c r="B103" s="5" t="s">
        <v>644</v>
      </c>
      <c r="C103" s="6" t="s">
        <v>206</v>
      </c>
      <c r="D103" s="6" t="s">
        <v>304</v>
      </c>
      <c r="E103" s="6"/>
      <c r="F103" s="6">
        <v>38</v>
      </c>
      <c r="G103" s="6" t="s">
        <v>217</v>
      </c>
      <c r="H103" s="6">
        <v>18</v>
      </c>
      <c r="I103" s="6" t="s">
        <v>218</v>
      </c>
      <c r="J103" s="6">
        <v>6</v>
      </c>
      <c r="K103" s="6">
        <v>165</v>
      </c>
      <c r="L103" s="6">
        <v>17</v>
      </c>
      <c r="M103" s="6">
        <v>0</v>
      </c>
      <c r="N103" s="6">
        <v>15.25</v>
      </c>
      <c r="O103" s="7">
        <f t="shared" si="1"/>
        <v>696.39830508474574</v>
      </c>
      <c r="P103" s="6">
        <v>821.75</v>
      </c>
      <c r="Q103" s="6"/>
    </row>
    <row r="104" spans="1:17">
      <c r="A104" s="4">
        <v>45383</v>
      </c>
      <c r="B104" s="5" t="s">
        <v>644</v>
      </c>
      <c r="C104" s="6" t="s">
        <v>206</v>
      </c>
      <c r="D104" s="6" t="s">
        <v>304</v>
      </c>
      <c r="E104" s="6"/>
      <c r="F104" s="6">
        <v>38</v>
      </c>
      <c r="G104" s="6" t="s">
        <v>62</v>
      </c>
      <c r="H104" s="6">
        <v>18</v>
      </c>
      <c r="I104" s="6" t="s">
        <v>63</v>
      </c>
      <c r="J104" s="6">
        <v>1</v>
      </c>
      <c r="K104" s="6">
        <v>89</v>
      </c>
      <c r="L104" s="6">
        <v>17</v>
      </c>
      <c r="M104" s="6">
        <v>0</v>
      </c>
      <c r="N104" s="6">
        <v>15.25</v>
      </c>
      <c r="O104" s="7">
        <f t="shared" si="1"/>
        <v>62.593220338983052</v>
      </c>
      <c r="P104" s="6">
        <v>73.86</v>
      </c>
      <c r="Q104" s="6"/>
    </row>
    <row r="105" spans="1:17">
      <c r="A105" s="4">
        <v>45383</v>
      </c>
      <c r="B105" s="5" t="s">
        <v>644</v>
      </c>
      <c r="C105" s="6" t="s">
        <v>206</v>
      </c>
      <c r="D105" s="6" t="s">
        <v>304</v>
      </c>
      <c r="E105" s="6"/>
      <c r="F105" s="6">
        <v>38</v>
      </c>
      <c r="G105" s="6" t="s">
        <v>64</v>
      </c>
      <c r="H105" s="6">
        <v>18</v>
      </c>
      <c r="I105" s="6" t="s">
        <v>65</v>
      </c>
      <c r="J105" s="6">
        <v>1</v>
      </c>
      <c r="K105" s="6">
        <v>121</v>
      </c>
      <c r="L105" s="6">
        <v>17</v>
      </c>
      <c r="M105" s="6">
        <v>0</v>
      </c>
      <c r="N105" s="6">
        <v>15.25</v>
      </c>
      <c r="O105" s="7">
        <f t="shared" si="1"/>
        <v>85.11016949152544</v>
      </c>
      <c r="P105" s="6">
        <v>100.43</v>
      </c>
      <c r="Q105" s="6"/>
    </row>
    <row r="106" spans="1:17">
      <c r="A106" s="4">
        <v>45383</v>
      </c>
      <c r="B106" s="5" t="s">
        <v>644</v>
      </c>
      <c r="C106" s="6" t="s">
        <v>206</v>
      </c>
      <c r="D106" s="6" t="s">
        <v>304</v>
      </c>
      <c r="E106" s="6"/>
      <c r="F106" s="6">
        <v>38</v>
      </c>
      <c r="G106" s="6" t="s">
        <v>66</v>
      </c>
      <c r="H106" s="6">
        <v>18</v>
      </c>
      <c r="I106" s="6" t="s">
        <v>67</v>
      </c>
      <c r="J106" s="6">
        <v>8</v>
      </c>
      <c r="K106" s="6">
        <v>131.5</v>
      </c>
      <c r="L106" s="6">
        <v>17</v>
      </c>
      <c r="M106" s="6">
        <v>0</v>
      </c>
      <c r="N106" s="6">
        <v>15.25</v>
      </c>
      <c r="O106" s="7">
        <f t="shared" si="1"/>
        <v>740.00000000000011</v>
      </c>
      <c r="P106" s="6">
        <v>873.2</v>
      </c>
      <c r="Q106" s="6"/>
    </row>
    <row r="107" spans="1:17">
      <c r="A107" s="4">
        <v>45383</v>
      </c>
      <c r="B107" s="5" t="s">
        <v>644</v>
      </c>
      <c r="C107" s="6" t="s">
        <v>206</v>
      </c>
      <c r="D107" s="6" t="s">
        <v>304</v>
      </c>
      <c r="E107" s="6"/>
      <c r="F107" s="6">
        <v>38</v>
      </c>
      <c r="G107" s="6" t="s">
        <v>68</v>
      </c>
      <c r="H107" s="6">
        <v>18</v>
      </c>
      <c r="I107" s="6" t="s">
        <v>69</v>
      </c>
      <c r="J107" s="6">
        <v>3</v>
      </c>
      <c r="K107" s="6">
        <v>188.5</v>
      </c>
      <c r="L107" s="6">
        <v>17</v>
      </c>
      <c r="M107" s="6">
        <v>0</v>
      </c>
      <c r="N107" s="6">
        <v>15.25</v>
      </c>
      <c r="O107" s="7">
        <f t="shared" si="1"/>
        <v>397.77966101694915</v>
      </c>
      <c r="P107" s="6">
        <v>469.38</v>
      </c>
      <c r="Q107" s="6"/>
    </row>
    <row r="108" spans="1:17">
      <c r="A108" s="4">
        <v>45383</v>
      </c>
      <c r="B108" s="5" t="s">
        <v>644</v>
      </c>
      <c r="C108" s="6" t="s">
        <v>206</v>
      </c>
      <c r="D108" s="6" t="s">
        <v>304</v>
      </c>
      <c r="E108" s="6"/>
      <c r="F108" s="6">
        <v>38</v>
      </c>
      <c r="G108" s="6" t="s">
        <v>72</v>
      </c>
      <c r="H108" s="6">
        <v>18</v>
      </c>
      <c r="I108" s="6" t="s">
        <v>73</v>
      </c>
      <c r="J108" s="6">
        <v>7</v>
      </c>
      <c r="K108" s="6">
        <v>227.5</v>
      </c>
      <c r="L108" s="6">
        <v>17</v>
      </c>
      <c r="M108" s="6">
        <v>0</v>
      </c>
      <c r="N108" s="6">
        <v>15.25</v>
      </c>
      <c r="O108" s="7">
        <f t="shared" si="1"/>
        <v>1120.2033898305085</v>
      </c>
      <c r="P108" s="6">
        <v>1321.84</v>
      </c>
      <c r="Q108" s="6"/>
    </row>
    <row r="109" spans="1:17">
      <c r="A109" s="4">
        <v>45383</v>
      </c>
      <c r="B109" s="5" t="s">
        <v>644</v>
      </c>
      <c r="C109" s="6" t="s">
        <v>206</v>
      </c>
      <c r="D109" s="6" t="s">
        <v>304</v>
      </c>
      <c r="E109" s="6"/>
      <c r="F109" s="6">
        <v>38</v>
      </c>
      <c r="G109" s="6" t="s">
        <v>48</v>
      </c>
      <c r="H109" s="6">
        <v>18</v>
      </c>
      <c r="I109" s="6" t="s">
        <v>49</v>
      </c>
      <c r="J109" s="6">
        <v>1</v>
      </c>
      <c r="K109" s="6">
        <v>156</v>
      </c>
      <c r="L109" s="6">
        <v>17</v>
      </c>
      <c r="M109" s="6">
        <v>0</v>
      </c>
      <c r="N109" s="6">
        <v>15.25</v>
      </c>
      <c r="O109" s="7">
        <f t="shared" si="1"/>
        <v>109.73728813559323</v>
      </c>
      <c r="P109" s="6">
        <v>129.49</v>
      </c>
      <c r="Q109" s="6"/>
    </row>
    <row r="110" spans="1:17">
      <c r="A110" s="4">
        <v>45383</v>
      </c>
      <c r="B110" s="5" t="s">
        <v>644</v>
      </c>
      <c r="C110" s="6" t="s">
        <v>206</v>
      </c>
      <c r="D110" s="6" t="s">
        <v>304</v>
      </c>
      <c r="E110" s="6"/>
      <c r="F110" s="6">
        <v>38</v>
      </c>
      <c r="G110" s="6" t="s">
        <v>219</v>
      </c>
      <c r="H110" s="6">
        <v>18</v>
      </c>
      <c r="I110" s="6" t="s">
        <v>220</v>
      </c>
      <c r="J110" s="6">
        <v>6</v>
      </c>
      <c r="K110" s="6">
        <v>227</v>
      </c>
      <c r="L110" s="6">
        <v>17</v>
      </c>
      <c r="M110" s="6">
        <v>0</v>
      </c>
      <c r="N110" s="6">
        <v>15.25</v>
      </c>
      <c r="O110" s="7">
        <f t="shared" si="1"/>
        <v>958.06779661016958</v>
      </c>
      <c r="P110" s="6">
        <v>1130.52</v>
      </c>
      <c r="Q110" s="6"/>
    </row>
    <row r="111" spans="1:17">
      <c r="A111" s="4">
        <v>45383</v>
      </c>
      <c r="B111" s="5" t="s">
        <v>644</v>
      </c>
      <c r="C111" s="6" t="s">
        <v>206</v>
      </c>
      <c r="D111" s="6" t="s">
        <v>304</v>
      </c>
      <c r="E111" s="6"/>
      <c r="F111" s="6">
        <v>38</v>
      </c>
      <c r="G111" s="6" t="s">
        <v>221</v>
      </c>
      <c r="H111" s="6">
        <v>18</v>
      </c>
      <c r="I111" s="6" t="s">
        <v>222</v>
      </c>
      <c r="J111" s="6">
        <v>2</v>
      </c>
      <c r="K111" s="6">
        <v>39</v>
      </c>
      <c r="L111" s="6">
        <v>17</v>
      </c>
      <c r="M111" s="6">
        <v>0</v>
      </c>
      <c r="N111" s="6">
        <v>15.25</v>
      </c>
      <c r="O111" s="7">
        <f t="shared" si="1"/>
        <v>54.872881355932208</v>
      </c>
      <c r="P111" s="6">
        <v>64.75</v>
      </c>
      <c r="Q111" s="6"/>
    </row>
    <row r="112" spans="1:17">
      <c r="A112" s="4">
        <v>45383</v>
      </c>
      <c r="B112" s="5" t="s">
        <v>644</v>
      </c>
      <c r="C112" s="6" t="s">
        <v>206</v>
      </c>
      <c r="D112" s="6" t="s">
        <v>304</v>
      </c>
      <c r="E112" s="6"/>
      <c r="F112" s="6">
        <v>38</v>
      </c>
      <c r="G112" s="6" t="s">
        <v>223</v>
      </c>
      <c r="H112" s="6">
        <v>18</v>
      </c>
      <c r="I112" s="6" t="s">
        <v>224</v>
      </c>
      <c r="J112" s="6">
        <v>2</v>
      </c>
      <c r="K112" s="6">
        <v>39</v>
      </c>
      <c r="L112" s="6">
        <v>17</v>
      </c>
      <c r="M112" s="6">
        <v>0</v>
      </c>
      <c r="N112" s="6">
        <v>15.25</v>
      </c>
      <c r="O112" s="7">
        <f t="shared" si="1"/>
        <v>54.872881355932208</v>
      </c>
      <c r="P112" s="6">
        <v>64.75</v>
      </c>
      <c r="Q112" s="6"/>
    </row>
    <row r="113" spans="1:17">
      <c r="A113" s="4">
        <v>45383</v>
      </c>
      <c r="B113" s="5" t="s">
        <v>644</v>
      </c>
      <c r="C113" s="6" t="s">
        <v>206</v>
      </c>
      <c r="D113" s="6" t="s">
        <v>304</v>
      </c>
      <c r="E113" s="6"/>
      <c r="F113" s="6">
        <v>38</v>
      </c>
      <c r="G113" s="6" t="s">
        <v>225</v>
      </c>
      <c r="H113" s="6">
        <v>18</v>
      </c>
      <c r="I113" s="6" t="s">
        <v>226</v>
      </c>
      <c r="J113" s="6">
        <v>1</v>
      </c>
      <c r="K113" s="6">
        <v>47</v>
      </c>
      <c r="L113" s="6">
        <v>17</v>
      </c>
      <c r="M113" s="6">
        <v>0</v>
      </c>
      <c r="N113" s="6">
        <v>15.25</v>
      </c>
      <c r="O113" s="7">
        <f t="shared" si="1"/>
        <v>33.067796610169495</v>
      </c>
      <c r="P113" s="6">
        <v>39.020000000000003</v>
      </c>
      <c r="Q113" s="6"/>
    </row>
    <row r="114" spans="1:17">
      <c r="A114" s="4">
        <v>45383</v>
      </c>
      <c r="B114" s="5" t="s">
        <v>687</v>
      </c>
      <c r="C114" s="6" t="s">
        <v>227</v>
      </c>
      <c r="D114" s="6" t="s">
        <v>304</v>
      </c>
      <c r="E114" s="6"/>
      <c r="F114" s="6">
        <v>39</v>
      </c>
      <c r="G114" s="6" t="s">
        <v>42</v>
      </c>
      <c r="H114" s="6">
        <v>18</v>
      </c>
      <c r="I114" s="6" t="s">
        <v>43</v>
      </c>
      <c r="J114" s="6">
        <v>60</v>
      </c>
      <c r="K114" s="6">
        <v>30</v>
      </c>
      <c r="L114" s="6">
        <v>14.5</v>
      </c>
      <c r="M114" s="6">
        <v>0</v>
      </c>
      <c r="N114" s="6">
        <v>15.25</v>
      </c>
      <c r="O114" s="7">
        <f t="shared" si="1"/>
        <v>1304.3050847457628</v>
      </c>
      <c r="P114" s="6">
        <v>1539.08</v>
      </c>
      <c r="Q114" s="6"/>
    </row>
    <row r="115" spans="1:17">
      <c r="A115" s="4">
        <v>45383</v>
      </c>
      <c r="B115" s="5" t="s">
        <v>687</v>
      </c>
      <c r="C115" s="6" t="s">
        <v>227</v>
      </c>
      <c r="D115" s="6" t="s">
        <v>304</v>
      </c>
      <c r="E115" s="6"/>
      <c r="F115" s="6">
        <v>39</v>
      </c>
      <c r="G115" s="6" t="s">
        <v>228</v>
      </c>
      <c r="H115" s="6">
        <v>18</v>
      </c>
      <c r="I115" s="6" t="s">
        <v>229</v>
      </c>
      <c r="J115" s="6">
        <v>3</v>
      </c>
      <c r="K115" s="6">
        <v>156</v>
      </c>
      <c r="L115" s="6">
        <v>14.5</v>
      </c>
      <c r="M115" s="6">
        <v>0</v>
      </c>
      <c r="N115" s="6">
        <v>15.25</v>
      </c>
      <c r="O115" s="7">
        <f t="shared" si="1"/>
        <v>339.11864406779665</v>
      </c>
      <c r="P115" s="6">
        <v>400.16</v>
      </c>
      <c r="Q115" s="6"/>
    </row>
    <row r="116" spans="1:17">
      <c r="A116" s="4">
        <v>45383</v>
      </c>
      <c r="B116" s="5" t="s">
        <v>687</v>
      </c>
      <c r="C116" s="6" t="s">
        <v>227</v>
      </c>
      <c r="D116" s="6" t="s">
        <v>304</v>
      </c>
      <c r="E116" s="6"/>
      <c r="F116" s="6">
        <v>39</v>
      </c>
      <c r="G116" s="6" t="s">
        <v>86</v>
      </c>
      <c r="H116" s="6">
        <v>18</v>
      </c>
      <c r="I116" s="6" t="s">
        <v>87</v>
      </c>
      <c r="J116" s="6">
        <v>3</v>
      </c>
      <c r="K116" s="6">
        <v>535.5</v>
      </c>
      <c r="L116" s="6">
        <v>14.5</v>
      </c>
      <c r="M116" s="6">
        <v>0</v>
      </c>
      <c r="N116" s="6">
        <v>15.25</v>
      </c>
      <c r="O116" s="7">
        <f t="shared" si="1"/>
        <v>1164.0932203389832</v>
      </c>
      <c r="P116" s="6">
        <v>1373.63</v>
      </c>
      <c r="Q116" s="6"/>
    </row>
    <row r="117" spans="1:17">
      <c r="A117" s="4">
        <v>45383</v>
      </c>
      <c r="B117" s="5" t="s">
        <v>687</v>
      </c>
      <c r="C117" s="6" t="s">
        <v>227</v>
      </c>
      <c r="D117" s="6" t="s">
        <v>304</v>
      </c>
      <c r="E117" s="6"/>
      <c r="F117" s="6">
        <v>39</v>
      </c>
      <c r="G117" s="6" t="s">
        <v>84</v>
      </c>
      <c r="H117" s="6">
        <v>18</v>
      </c>
      <c r="I117" s="6" t="s">
        <v>85</v>
      </c>
      <c r="J117" s="6">
        <v>3</v>
      </c>
      <c r="K117" s="6">
        <v>377</v>
      </c>
      <c r="L117" s="6">
        <v>14.5</v>
      </c>
      <c r="M117" s="6">
        <v>0</v>
      </c>
      <c r="N117" s="6">
        <v>15.25</v>
      </c>
      <c r="O117" s="7">
        <f t="shared" si="1"/>
        <v>819.53389830508479</v>
      </c>
      <c r="P117" s="6">
        <v>967.05</v>
      </c>
      <c r="Q117" s="6"/>
    </row>
    <row r="118" spans="1:17">
      <c r="A118" s="4">
        <v>45383</v>
      </c>
      <c r="B118" s="5" t="s">
        <v>687</v>
      </c>
      <c r="C118" s="6" t="s">
        <v>227</v>
      </c>
      <c r="D118" s="6" t="s">
        <v>304</v>
      </c>
      <c r="E118" s="6"/>
      <c r="F118" s="6">
        <v>39</v>
      </c>
      <c r="G118" s="6" t="s">
        <v>78</v>
      </c>
      <c r="H118" s="6">
        <v>18</v>
      </c>
      <c r="I118" s="6" t="s">
        <v>79</v>
      </c>
      <c r="J118" s="6">
        <v>1</v>
      </c>
      <c r="K118" s="6">
        <v>158.25</v>
      </c>
      <c r="L118" s="6">
        <v>14.5</v>
      </c>
      <c r="M118" s="6">
        <v>0</v>
      </c>
      <c r="N118" s="6">
        <v>15.25</v>
      </c>
      <c r="O118" s="7">
        <f t="shared" si="1"/>
        <v>114.66949152542374</v>
      </c>
      <c r="P118" s="6">
        <v>135.31</v>
      </c>
      <c r="Q118" s="6"/>
    </row>
    <row r="119" spans="1:17">
      <c r="A119" s="4">
        <v>45383</v>
      </c>
      <c r="B119" s="5" t="s">
        <v>687</v>
      </c>
      <c r="C119" s="6" t="s">
        <v>227</v>
      </c>
      <c r="D119" s="6" t="s">
        <v>304</v>
      </c>
      <c r="E119" s="6"/>
      <c r="F119" s="6">
        <v>39</v>
      </c>
      <c r="G119" s="6" t="s">
        <v>230</v>
      </c>
      <c r="H119" s="6">
        <v>18</v>
      </c>
      <c r="I119" s="6" t="s">
        <v>231</v>
      </c>
      <c r="J119" s="6">
        <v>1</v>
      </c>
      <c r="K119" s="6">
        <v>105</v>
      </c>
      <c r="L119" s="6">
        <v>14.5</v>
      </c>
      <c r="M119" s="6">
        <v>0</v>
      </c>
      <c r="N119" s="6">
        <v>15.25</v>
      </c>
      <c r="O119" s="7">
        <f t="shared" si="1"/>
        <v>76.093220338983059</v>
      </c>
      <c r="P119" s="6">
        <v>89.79</v>
      </c>
      <c r="Q119" s="6"/>
    </row>
    <row r="120" spans="1:17">
      <c r="A120" s="4">
        <v>45383</v>
      </c>
      <c r="B120" s="5" t="s">
        <v>687</v>
      </c>
      <c r="C120" s="6" t="s">
        <v>227</v>
      </c>
      <c r="D120" s="6" t="s">
        <v>304</v>
      </c>
      <c r="E120" s="6"/>
      <c r="F120" s="6">
        <v>39</v>
      </c>
      <c r="G120" s="6" t="s">
        <v>232</v>
      </c>
      <c r="H120" s="6">
        <v>18</v>
      </c>
      <c r="I120" s="6" t="s">
        <v>233</v>
      </c>
      <c r="J120" s="6">
        <v>1</v>
      </c>
      <c r="K120" s="6">
        <v>150</v>
      </c>
      <c r="L120" s="6">
        <v>14.5</v>
      </c>
      <c r="M120" s="6">
        <v>0</v>
      </c>
      <c r="N120" s="6">
        <v>15.25</v>
      </c>
      <c r="O120" s="7">
        <f t="shared" si="1"/>
        <v>108.6864406779661</v>
      </c>
      <c r="P120" s="6">
        <v>128.25</v>
      </c>
      <c r="Q120" s="6"/>
    </row>
    <row r="121" spans="1:17">
      <c r="A121" s="4">
        <v>45383</v>
      </c>
      <c r="B121" s="5" t="s">
        <v>687</v>
      </c>
      <c r="C121" s="6" t="s">
        <v>227</v>
      </c>
      <c r="D121" s="6" t="s">
        <v>304</v>
      </c>
      <c r="E121" s="6"/>
      <c r="F121" s="6">
        <v>39</v>
      </c>
      <c r="G121" s="6" t="s">
        <v>44</v>
      </c>
      <c r="H121" s="6">
        <v>18</v>
      </c>
      <c r="I121" s="6" t="s">
        <v>45</v>
      </c>
      <c r="J121" s="6">
        <v>2</v>
      </c>
      <c r="K121" s="6">
        <v>55.5</v>
      </c>
      <c r="L121" s="6">
        <v>14.5</v>
      </c>
      <c r="M121" s="6">
        <v>0</v>
      </c>
      <c r="N121" s="6">
        <v>15.25</v>
      </c>
      <c r="O121" s="7">
        <f t="shared" si="1"/>
        <v>80.432203389830505</v>
      </c>
      <c r="P121" s="6">
        <v>94.91</v>
      </c>
      <c r="Q121" s="6"/>
    </row>
    <row r="122" spans="1:17">
      <c r="A122" s="4">
        <v>45383</v>
      </c>
      <c r="B122" s="5" t="s">
        <v>599</v>
      </c>
      <c r="C122" s="6" t="s">
        <v>234</v>
      </c>
      <c r="D122" s="6" t="s">
        <v>304</v>
      </c>
      <c r="E122" s="6"/>
      <c r="F122" s="6">
        <v>40</v>
      </c>
      <c r="G122" s="6" t="s">
        <v>235</v>
      </c>
      <c r="H122" s="6">
        <v>18</v>
      </c>
      <c r="I122" s="6" t="s">
        <v>236</v>
      </c>
      <c r="J122" s="6">
        <v>115</v>
      </c>
      <c r="K122" s="6">
        <v>95.4</v>
      </c>
      <c r="L122" s="6">
        <v>35.5</v>
      </c>
      <c r="M122" s="6">
        <v>0</v>
      </c>
      <c r="N122" s="6">
        <v>15.25</v>
      </c>
      <c r="O122" s="7">
        <f t="shared" si="1"/>
        <v>5997.1525423728817</v>
      </c>
      <c r="P122" s="6">
        <v>7076.64</v>
      </c>
      <c r="Q122" s="6"/>
    </row>
    <row r="123" spans="1:17">
      <c r="A123" s="4">
        <v>45383</v>
      </c>
      <c r="B123" s="5" t="s">
        <v>311</v>
      </c>
      <c r="C123" s="6" t="s">
        <v>171</v>
      </c>
      <c r="D123" s="6" t="s">
        <v>304</v>
      </c>
      <c r="E123" s="6"/>
      <c r="F123" s="6">
        <v>41</v>
      </c>
      <c r="G123" s="6" t="s">
        <v>237</v>
      </c>
      <c r="H123" s="6">
        <v>18</v>
      </c>
      <c r="I123" s="6" t="s">
        <v>238</v>
      </c>
      <c r="J123" s="6">
        <v>100</v>
      </c>
      <c r="K123" s="6">
        <v>23.97</v>
      </c>
      <c r="L123" s="6">
        <v>35.5</v>
      </c>
      <c r="M123" s="6">
        <v>0</v>
      </c>
      <c r="N123" s="6">
        <v>15.25</v>
      </c>
      <c r="O123" s="7">
        <f t="shared" si="1"/>
        <v>1310.2966101694917</v>
      </c>
      <c r="P123" s="6">
        <v>1546.15</v>
      </c>
      <c r="Q123" s="6"/>
    </row>
    <row r="124" spans="1:17">
      <c r="A124" s="4">
        <v>45383</v>
      </c>
      <c r="B124" s="5" t="s">
        <v>311</v>
      </c>
      <c r="C124" s="6" t="s">
        <v>171</v>
      </c>
      <c r="D124" s="6" t="s">
        <v>304</v>
      </c>
      <c r="E124" s="6"/>
      <c r="F124" s="6">
        <v>41</v>
      </c>
      <c r="G124" s="6" t="s">
        <v>239</v>
      </c>
      <c r="H124" s="6">
        <v>18</v>
      </c>
      <c r="I124" s="6" t="s">
        <v>240</v>
      </c>
      <c r="J124" s="6">
        <v>82</v>
      </c>
      <c r="K124" s="6">
        <v>43.31</v>
      </c>
      <c r="L124" s="6">
        <v>35.5</v>
      </c>
      <c r="M124" s="6">
        <v>0</v>
      </c>
      <c r="N124" s="6">
        <v>15.25</v>
      </c>
      <c r="O124" s="7">
        <f t="shared" si="1"/>
        <v>1941.3389830508477</v>
      </c>
      <c r="P124" s="6">
        <v>2290.7800000000002</v>
      </c>
      <c r="Q124" s="6"/>
    </row>
    <row r="125" spans="1:17">
      <c r="A125" s="4">
        <v>45383</v>
      </c>
      <c r="B125" s="5" t="s">
        <v>311</v>
      </c>
      <c r="C125" s="6" t="s">
        <v>171</v>
      </c>
      <c r="D125" s="6" t="s">
        <v>304</v>
      </c>
      <c r="E125" s="6"/>
      <c r="F125" s="6">
        <v>41</v>
      </c>
      <c r="G125" s="6" t="s">
        <v>241</v>
      </c>
      <c r="H125" s="6">
        <v>18</v>
      </c>
      <c r="I125" s="6" t="s">
        <v>242</v>
      </c>
      <c r="J125" s="6">
        <v>100</v>
      </c>
      <c r="K125" s="6">
        <v>41.54</v>
      </c>
      <c r="L125" s="6">
        <v>35.5</v>
      </c>
      <c r="M125" s="6">
        <v>0</v>
      </c>
      <c r="N125" s="6">
        <v>15.25</v>
      </c>
      <c r="O125" s="7">
        <f t="shared" si="1"/>
        <v>2270.7372881355932</v>
      </c>
      <c r="P125" s="6">
        <v>2679.47</v>
      </c>
      <c r="Q125" s="6"/>
    </row>
    <row r="126" spans="1:17">
      <c r="A126" s="4">
        <v>45383</v>
      </c>
      <c r="B126" s="5" t="s">
        <v>311</v>
      </c>
      <c r="C126" s="6" t="s">
        <v>171</v>
      </c>
      <c r="D126" s="6" t="s">
        <v>304</v>
      </c>
      <c r="E126" s="6"/>
      <c r="F126" s="6">
        <v>41</v>
      </c>
      <c r="G126" s="6" t="s">
        <v>243</v>
      </c>
      <c r="H126" s="6">
        <v>18</v>
      </c>
      <c r="I126" s="6" t="s">
        <v>244</v>
      </c>
      <c r="J126" s="6">
        <v>100</v>
      </c>
      <c r="K126" s="6">
        <v>79.17</v>
      </c>
      <c r="L126" s="6">
        <v>35.5</v>
      </c>
      <c r="M126" s="6">
        <v>0</v>
      </c>
      <c r="N126" s="6">
        <v>15.25</v>
      </c>
      <c r="O126" s="7">
        <f t="shared" si="1"/>
        <v>4327.7118644067796</v>
      </c>
      <c r="P126" s="6">
        <v>5106.7</v>
      </c>
      <c r="Q126" s="6"/>
    </row>
    <row r="127" spans="1:17">
      <c r="A127" s="4">
        <v>45383</v>
      </c>
      <c r="B127" s="5" t="s">
        <v>311</v>
      </c>
      <c r="C127" s="6" t="s">
        <v>171</v>
      </c>
      <c r="D127" s="6" t="s">
        <v>304</v>
      </c>
      <c r="E127" s="6"/>
      <c r="F127" s="6">
        <v>41</v>
      </c>
      <c r="G127" s="6" t="s">
        <v>235</v>
      </c>
      <c r="H127" s="6">
        <v>18</v>
      </c>
      <c r="I127" s="6" t="s">
        <v>236</v>
      </c>
      <c r="J127" s="6">
        <v>130</v>
      </c>
      <c r="K127" s="6">
        <v>95.4</v>
      </c>
      <c r="L127" s="6">
        <v>35.5</v>
      </c>
      <c r="M127" s="6">
        <v>0</v>
      </c>
      <c r="N127" s="6">
        <v>15.25</v>
      </c>
      <c r="O127" s="7">
        <f t="shared" si="1"/>
        <v>6779.406779661017</v>
      </c>
      <c r="P127" s="6">
        <v>7999.7</v>
      </c>
      <c r="Q127" s="6"/>
    </row>
    <row r="128" spans="1:17">
      <c r="A128" s="4">
        <v>45383</v>
      </c>
      <c r="B128" s="5" t="s">
        <v>792</v>
      </c>
      <c r="C128" s="6" t="s">
        <v>793</v>
      </c>
      <c r="D128" s="6" t="s">
        <v>304</v>
      </c>
      <c r="E128" s="6"/>
      <c r="F128" s="6">
        <v>42</v>
      </c>
      <c r="G128" s="6" t="s">
        <v>245</v>
      </c>
      <c r="H128" s="6">
        <v>18</v>
      </c>
      <c r="I128" s="6" t="s">
        <v>246</v>
      </c>
      <c r="J128" s="6">
        <v>200</v>
      </c>
      <c r="K128" s="6">
        <v>23.97</v>
      </c>
      <c r="L128" s="6">
        <v>35.5</v>
      </c>
      <c r="M128" s="6">
        <v>0</v>
      </c>
      <c r="N128" s="6">
        <v>15.25</v>
      </c>
      <c r="O128" s="7">
        <f t="shared" si="1"/>
        <v>2620.5762711864409</v>
      </c>
      <c r="P128" s="6">
        <v>3092.28</v>
      </c>
      <c r="Q128" s="6"/>
    </row>
    <row r="129" spans="1:17">
      <c r="A129" s="4">
        <v>45383</v>
      </c>
      <c r="B129" s="5" t="s">
        <v>792</v>
      </c>
      <c r="C129" s="6" t="s">
        <v>793</v>
      </c>
      <c r="D129" s="6" t="s">
        <v>304</v>
      </c>
      <c r="E129" s="6"/>
      <c r="F129" s="6">
        <v>42</v>
      </c>
      <c r="G129" s="6" t="s">
        <v>247</v>
      </c>
      <c r="H129" s="6">
        <v>18</v>
      </c>
      <c r="I129" s="6" t="s">
        <v>248</v>
      </c>
      <c r="J129" s="6">
        <v>200</v>
      </c>
      <c r="K129" s="6">
        <v>29.84</v>
      </c>
      <c r="L129" s="6">
        <v>35.5</v>
      </c>
      <c r="M129" s="6">
        <v>0</v>
      </c>
      <c r="N129" s="6">
        <v>15.25</v>
      </c>
      <c r="O129" s="7">
        <f t="shared" si="1"/>
        <v>3262.3305084745766</v>
      </c>
      <c r="P129" s="6">
        <v>3849.55</v>
      </c>
      <c r="Q129" s="6"/>
    </row>
    <row r="130" spans="1:17">
      <c r="A130" s="4">
        <v>45383</v>
      </c>
      <c r="B130" s="5" t="s">
        <v>792</v>
      </c>
      <c r="C130" s="6" t="s">
        <v>793</v>
      </c>
      <c r="D130" s="6" t="s">
        <v>304</v>
      </c>
      <c r="E130" s="6"/>
      <c r="F130" s="6">
        <v>42</v>
      </c>
      <c r="G130" s="6" t="s">
        <v>249</v>
      </c>
      <c r="H130" s="6">
        <v>18</v>
      </c>
      <c r="I130" s="6" t="s">
        <v>250</v>
      </c>
      <c r="J130" s="6">
        <v>100</v>
      </c>
      <c r="K130" s="6">
        <v>65.12</v>
      </c>
      <c r="L130" s="6">
        <v>35.5</v>
      </c>
      <c r="M130" s="6">
        <v>0</v>
      </c>
      <c r="N130" s="6">
        <v>15.25</v>
      </c>
      <c r="O130" s="7">
        <f t="shared" si="1"/>
        <v>3559.694915254237</v>
      </c>
      <c r="P130" s="6">
        <v>4200.4399999999996</v>
      </c>
      <c r="Q130" s="6"/>
    </row>
    <row r="131" spans="1:17">
      <c r="A131" s="4">
        <v>45383</v>
      </c>
      <c r="B131" s="5" t="s">
        <v>792</v>
      </c>
      <c r="C131" s="6" t="s">
        <v>793</v>
      </c>
      <c r="D131" s="6" t="s">
        <v>304</v>
      </c>
      <c r="E131" s="6"/>
      <c r="F131" s="6">
        <v>42</v>
      </c>
      <c r="G131" s="6" t="s">
        <v>235</v>
      </c>
      <c r="H131" s="6">
        <v>18</v>
      </c>
      <c r="I131" s="6" t="s">
        <v>236</v>
      </c>
      <c r="J131" s="6">
        <v>99</v>
      </c>
      <c r="K131" s="6">
        <v>95.4</v>
      </c>
      <c r="L131" s="6">
        <v>35.5</v>
      </c>
      <c r="M131" s="6">
        <v>0</v>
      </c>
      <c r="N131" s="6">
        <v>15.25</v>
      </c>
      <c r="O131" s="7">
        <f t="shared" ref="O131:O168" si="2">P131/1.18</f>
        <v>5162.7796610169489</v>
      </c>
      <c r="P131" s="6">
        <v>6092.08</v>
      </c>
      <c r="Q131" s="6"/>
    </row>
    <row r="132" spans="1:17">
      <c r="A132" s="4">
        <v>45383</v>
      </c>
      <c r="B132" s="5" t="s">
        <v>804</v>
      </c>
      <c r="C132" s="6" t="s">
        <v>251</v>
      </c>
      <c r="D132" s="6" t="s">
        <v>304</v>
      </c>
      <c r="E132" s="6"/>
      <c r="F132" s="6">
        <v>43</v>
      </c>
      <c r="G132" s="6" t="s">
        <v>252</v>
      </c>
      <c r="H132" s="6">
        <v>18</v>
      </c>
      <c r="I132" s="6" t="s">
        <v>253</v>
      </c>
      <c r="J132" s="6">
        <v>4</v>
      </c>
      <c r="K132" s="6">
        <v>58.5</v>
      </c>
      <c r="L132" s="6">
        <v>17</v>
      </c>
      <c r="M132" s="6">
        <v>0</v>
      </c>
      <c r="N132" s="6">
        <v>15.25</v>
      </c>
      <c r="O132" s="7">
        <f t="shared" si="2"/>
        <v>164.59322033898306</v>
      </c>
      <c r="P132" s="6">
        <v>194.22</v>
      </c>
      <c r="Q132" s="6"/>
    </row>
    <row r="133" spans="1:17">
      <c r="A133" s="4">
        <v>45383</v>
      </c>
      <c r="B133" s="5" t="s">
        <v>804</v>
      </c>
      <c r="C133" s="6" t="s">
        <v>251</v>
      </c>
      <c r="D133" s="6" t="s">
        <v>304</v>
      </c>
      <c r="E133" s="6"/>
      <c r="F133" s="6">
        <v>43</v>
      </c>
      <c r="G133" s="6" t="s">
        <v>94</v>
      </c>
      <c r="H133" s="6">
        <v>18</v>
      </c>
      <c r="I133" s="6" t="s">
        <v>95</v>
      </c>
      <c r="J133" s="6">
        <v>13</v>
      </c>
      <c r="K133" s="6">
        <v>54</v>
      </c>
      <c r="L133" s="6">
        <v>17</v>
      </c>
      <c r="M133" s="6">
        <v>0</v>
      </c>
      <c r="N133" s="6">
        <v>15.25</v>
      </c>
      <c r="O133" s="7">
        <f t="shared" si="2"/>
        <v>493.79661016949149</v>
      </c>
      <c r="P133" s="6">
        <v>582.67999999999995</v>
      </c>
      <c r="Q133" s="6"/>
    </row>
    <row r="134" spans="1:17">
      <c r="A134" s="4">
        <v>45383</v>
      </c>
      <c r="B134" s="5" t="s">
        <v>804</v>
      </c>
      <c r="C134" s="6" t="s">
        <v>251</v>
      </c>
      <c r="D134" s="6" t="s">
        <v>304</v>
      </c>
      <c r="E134" s="6"/>
      <c r="F134" s="6">
        <v>43</v>
      </c>
      <c r="G134" s="6" t="s">
        <v>254</v>
      </c>
      <c r="H134" s="6">
        <v>18</v>
      </c>
      <c r="I134" s="6" t="s">
        <v>255</v>
      </c>
      <c r="J134" s="6">
        <v>1</v>
      </c>
      <c r="K134" s="6">
        <v>45</v>
      </c>
      <c r="L134" s="6">
        <v>17</v>
      </c>
      <c r="M134" s="6">
        <v>0</v>
      </c>
      <c r="N134" s="6">
        <v>15.25</v>
      </c>
      <c r="O134" s="7">
        <f t="shared" si="2"/>
        <v>31.65254237288136</v>
      </c>
      <c r="P134" s="6">
        <v>37.35</v>
      </c>
      <c r="Q134" s="6"/>
    </row>
    <row r="135" spans="1:17">
      <c r="A135" s="4">
        <v>45383</v>
      </c>
      <c r="B135" s="5" t="s">
        <v>804</v>
      </c>
      <c r="C135" s="6" t="s">
        <v>251</v>
      </c>
      <c r="D135" s="6" t="s">
        <v>304</v>
      </c>
      <c r="E135" s="6"/>
      <c r="F135" s="6">
        <v>43</v>
      </c>
      <c r="G135" s="6" t="s">
        <v>39</v>
      </c>
      <c r="H135" s="6">
        <v>18</v>
      </c>
      <c r="I135" s="6" t="s">
        <v>40</v>
      </c>
      <c r="J135" s="6">
        <v>60</v>
      </c>
      <c r="K135" s="6">
        <v>102.5</v>
      </c>
      <c r="L135" s="6">
        <v>17</v>
      </c>
      <c r="M135" s="6">
        <v>0</v>
      </c>
      <c r="N135" s="6">
        <v>15.25</v>
      </c>
      <c r="O135" s="7">
        <f t="shared" si="2"/>
        <v>4326.0677966101703</v>
      </c>
      <c r="P135" s="6">
        <v>5104.76</v>
      </c>
      <c r="Q135" s="6"/>
    </row>
    <row r="136" spans="1:17">
      <c r="A136" s="4">
        <v>45383</v>
      </c>
      <c r="B136" s="5" t="s">
        <v>804</v>
      </c>
      <c r="C136" s="6" t="s">
        <v>251</v>
      </c>
      <c r="D136" s="6" t="s">
        <v>304</v>
      </c>
      <c r="E136" s="6"/>
      <c r="F136" s="6">
        <v>43</v>
      </c>
      <c r="G136" s="6" t="s">
        <v>42</v>
      </c>
      <c r="H136" s="6">
        <v>18</v>
      </c>
      <c r="I136" s="6" t="s">
        <v>43</v>
      </c>
      <c r="J136" s="6">
        <v>25</v>
      </c>
      <c r="K136" s="6">
        <v>30</v>
      </c>
      <c r="L136" s="6">
        <v>17</v>
      </c>
      <c r="M136" s="6">
        <v>0</v>
      </c>
      <c r="N136" s="6">
        <v>15.25</v>
      </c>
      <c r="O136" s="7">
        <f t="shared" si="2"/>
        <v>527.56779661016947</v>
      </c>
      <c r="P136" s="6">
        <v>622.53</v>
      </c>
      <c r="Q136" s="6"/>
    </row>
    <row r="137" spans="1:17">
      <c r="A137" s="4">
        <v>45383</v>
      </c>
      <c r="B137" s="5" t="s">
        <v>792</v>
      </c>
      <c r="C137" s="6" t="s">
        <v>793</v>
      </c>
      <c r="D137" s="6" t="s">
        <v>304</v>
      </c>
      <c r="E137" s="6"/>
      <c r="F137" s="6">
        <v>44</v>
      </c>
      <c r="G137" s="6" t="s">
        <v>247</v>
      </c>
      <c r="H137" s="6">
        <v>18</v>
      </c>
      <c r="I137" s="6" t="s">
        <v>248</v>
      </c>
      <c r="J137" s="6">
        <v>210</v>
      </c>
      <c r="K137" s="6">
        <v>29.84</v>
      </c>
      <c r="L137" s="6">
        <v>35.5</v>
      </c>
      <c r="M137" s="6">
        <v>0</v>
      </c>
      <c r="N137" s="6">
        <v>15.25</v>
      </c>
      <c r="O137" s="7">
        <f t="shared" si="2"/>
        <v>3425.4491525423732</v>
      </c>
      <c r="P137" s="6">
        <v>4042.03</v>
      </c>
      <c r="Q137" s="6"/>
    </row>
    <row r="138" spans="1:17">
      <c r="A138" s="4">
        <v>45383</v>
      </c>
      <c r="B138" s="5" t="s">
        <v>792</v>
      </c>
      <c r="C138" s="6" t="s">
        <v>793</v>
      </c>
      <c r="D138" s="6" t="s">
        <v>304</v>
      </c>
      <c r="E138" s="6"/>
      <c r="F138" s="6">
        <v>44</v>
      </c>
      <c r="G138" s="6" t="s">
        <v>56</v>
      </c>
      <c r="H138" s="6">
        <v>18</v>
      </c>
      <c r="I138" s="6" t="s">
        <v>57</v>
      </c>
      <c r="J138" s="6">
        <v>1</v>
      </c>
      <c r="K138" s="6">
        <v>4.6500000000000004</v>
      </c>
      <c r="L138" s="6">
        <v>17</v>
      </c>
      <c r="M138" s="6">
        <v>0</v>
      </c>
      <c r="N138" s="6">
        <v>15.25</v>
      </c>
      <c r="O138" s="7">
        <f t="shared" si="2"/>
        <v>3.2627118644067798</v>
      </c>
      <c r="P138" s="6">
        <v>3.85</v>
      </c>
      <c r="Q138" s="6"/>
    </row>
    <row r="139" spans="1:17">
      <c r="A139" s="4">
        <v>45383</v>
      </c>
      <c r="B139" s="5" t="s">
        <v>311</v>
      </c>
      <c r="C139" s="6" t="s">
        <v>171</v>
      </c>
      <c r="D139" s="6" t="s">
        <v>304</v>
      </c>
      <c r="E139" s="6"/>
      <c r="F139" s="6">
        <v>45</v>
      </c>
      <c r="G139" s="6" t="s">
        <v>247</v>
      </c>
      <c r="H139" s="6">
        <v>18</v>
      </c>
      <c r="I139" s="6" t="s">
        <v>248</v>
      </c>
      <c r="J139" s="6">
        <v>210</v>
      </c>
      <c r="K139" s="6">
        <v>29.84</v>
      </c>
      <c r="L139" s="6">
        <v>35.5</v>
      </c>
      <c r="M139" s="6">
        <v>0</v>
      </c>
      <c r="N139" s="6">
        <v>15.25</v>
      </c>
      <c r="O139" s="7">
        <f t="shared" si="2"/>
        <v>3425.4491525423732</v>
      </c>
      <c r="P139" s="6">
        <v>4042.03</v>
      </c>
      <c r="Q139" s="6"/>
    </row>
    <row r="140" spans="1:17">
      <c r="A140" s="4">
        <v>45383</v>
      </c>
      <c r="B140" s="5" t="s">
        <v>311</v>
      </c>
      <c r="C140" s="6" t="s">
        <v>171</v>
      </c>
      <c r="D140" s="6" t="s">
        <v>304</v>
      </c>
      <c r="E140" s="6"/>
      <c r="F140" s="6">
        <v>45</v>
      </c>
      <c r="G140" s="6" t="s">
        <v>56</v>
      </c>
      <c r="H140" s="6">
        <v>18</v>
      </c>
      <c r="I140" s="6" t="s">
        <v>57</v>
      </c>
      <c r="J140" s="6">
        <v>1</v>
      </c>
      <c r="K140" s="6">
        <v>4.6500000000000004</v>
      </c>
      <c r="L140" s="6">
        <v>17</v>
      </c>
      <c r="M140" s="6">
        <v>0</v>
      </c>
      <c r="N140" s="6">
        <v>15.25</v>
      </c>
      <c r="O140" s="7">
        <f t="shared" si="2"/>
        <v>3.2627118644067798</v>
      </c>
      <c r="P140" s="6">
        <v>3.85</v>
      </c>
      <c r="Q140" s="6"/>
    </row>
    <row r="141" spans="1:17">
      <c r="A141" s="4">
        <v>45383</v>
      </c>
      <c r="B141" s="5" t="s">
        <v>599</v>
      </c>
      <c r="C141" s="6" t="s">
        <v>234</v>
      </c>
      <c r="D141" s="6" t="s">
        <v>304</v>
      </c>
      <c r="E141" s="6"/>
      <c r="F141" s="6">
        <v>46</v>
      </c>
      <c r="G141" s="6" t="s">
        <v>256</v>
      </c>
      <c r="H141" s="6">
        <v>18</v>
      </c>
      <c r="I141" s="6" t="s">
        <v>257</v>
      </c>
      <c r="J141" s="6">
        <v>10</v>
      </c>
      <c r="K141" s="6">
        <v>86.25</v>
      </c>
      <c r="L141" s="6">
        <v>14.5</v>
      </c>
      <c r="M141" s="6">
        <v>0</v>
      </c>
      <c r="N141" s="6">
        <v>15.25</v>
      </c>
      <c r="O141" s="7">
        <f t="shared" si="2"/>
        <v>624.98305084745766</v>
      </c>
      <c r="P141" s="6">
        <v>737.48</v>
      </c>
      <c r="Q141" s="6"/>
    </row>
    <row r="142" spans="1:17">
      <c r="A142" s="4">
        <v>45383</v>
      </c>
      <c r="B142" s="5" t="s">
        <v>599</v>
      </c>
      <c r="C142" s="6" t="s">
        <v>234</v>
      </c>
      <c r="D142" s="6" t="s">
        <v>304</v>
      </c>
      <c r="E142" s="6"/>
      <c r="F142" s="6">
        <v>46</v>
      </c>
      <c r="G142" s="6" t="s">
        <v>258</v>
      </c>
      <c r="H142" s="6">
        <v>18</v>
      </c>
      <c r="I142" s="6" t="s">
        <v>259</v>
      </c>
      <c r="J142" s="6">
        <v>10</v>
      </c>
      <c r="K142" s="6">
        <v>56.5</v>
      </c>
      <c r="L142" s="6">
        <v>14.5</v>
      </c>
      <c r="M142" s="6">
        <v>0</v>
      </c>
      <c r="N142" s="6">
        <v>15.25</v>
      </c>
      <c r="O142" s="7">
        <f t="shared" si="2"/>
        <v>409.4152542372882</v>
      </c>
      <c r="P142" s="6">
        <v>483.11</v>
      </c>
      <c r="Q142" s="6"/>
    </row>
    <row r="143" spans="1:17">
      <c r="A143" s="4">
        <v>45383</v>
      </c>
      <c r="B143" s="5" t="s">
        <v>599</v>
      </c>
      <c r="C143" s="6" t="s">
        <v>234</v>
      </c>
      <c r="D143" s="6" t="s">
        <v>304</v>
      </c>
      <c r="E143" s="6"/>
      <c r="F143" s="6">
        <v>46</v>
      </c>
      <c r="G143" s="6" t="s">
        <v>260</v>
      </c>
      <c r="H143" s="6">
        <v>18</v>
      </c>
      <c r="I143" s="6" t="s">
        <v>261</v>
      </c>
      <c r="J143" s="6">
        <v>10</v>
      </c>
      <c r="K143" s="6">
        <v>66.25</v>
      </c>
      <c r="L143" s="6">
        <v>14.5</v>
      </c>
      <c r="M143" s="6">
        <v>0</v>
      </c>
      <c r="N143" s="6">
        <v>15.25</v>
      </c>
      <c r="O143" s="7">
        <f t="shared" si="2"/>
        <v>480.06779661016952</v>
      </c>
      <c r="P143" s="6">
        <v>566.48</v>
      </c>
      <c r="Q143" s="6"/>
    </row>
    <row r="144" spans="1:17">
      <c r="A144" s="4">
        <v>45383</v>
      </c>
      <c r="B144" s="5" t="s">
        <v>311</v>
      </c>
      <c r="C144" s="6" t="s">
        <v>171</v>
      </c>
      <c r="D144" s="6" t="s">
        <v>304</v>
      </c>
      <c r="E144" s="6"/>
      <c r="F144" s="6">
        <v>47</v>
      </c>
      <c r="G144" s="6" t="s">
        <v>262</v>
      </c>
      <c r="H144" s="6">
        <v>18</v>
      </c>
      <c r="I144" s="6" t="s">
        <v>263</v>
      </c>
      <c r="J144" s="6">
        <v>5</v>
      </c>
      <c r="K144" s="6">
        <v>96</v>
      </c>
      <c r="L144" s="6">
        <v>0</v>
      </c>
      <c r="M144" s="6">
        <v>0</v>
      </c>
      <c r="N144" s="6">
        <v>15.25</v>
      </c>
      <c r="O144" s="7">
        <f t="shared" si="2"/>
        <v>406.79661016949154</v>
      </c>
      <c r="P144" s="6">
        <v>480.02</v>
      </c>
      <c r="Q144" s="6"/>
    </row>
    <row r="145" spans="1:17">
      <c r="A145" s="4">
        <v>45383</v>
      </c>
      <c r="B145" s="5" t="s">
        <v>792</v>
      </c>
      <c r="C145" s="6" t="s">
        <v>793</v>
      </c>
      <c r="D145" s="6" t="s">
        <v>304</v>
      </c>
      <c r="E145" s="6"/>
      <c r="F145" s="6">
        <v>48</v>
      </c>
      <c r="G145" s="6" t="s">
        <v>264</v>
      </c>
      <c r="H145" s="6">
        <v>18</v>
      </c>
      <c r="I145" s="6" t="s">
        <v>265</v>
      </c>
      <c r="J145" s="6">
        <v>15</v>
      </c>
      <c r="K145" s="6">
        <v>100</v>
      </c>
      <c r="L145" s="6">
        <v>68</v>
      </c>
      <c r="M145" s="6">
        <v>0</v>
      </c>
      <c r="N145" s="6">
        <v>0</v>
      </c>
      <c r="O145" s="7">
        <f t="shared" si="2"/>
        <v>480</v>
      </c>
      <c r="P145" s="6">
        <v>566.4</v>
      </c>
      <c r="Q145" s="6"/>
    </row>
    <row r="146" spans="1:17">
      <c r="A146" s="4">
        <v>45383</v>
      </c>
      <c r="B146" s="5" t="s">
        <v>896</v>
      </c>
      <c r="C146" s="6" t="s">
        <v>266</v>
      </c>
      <c r="D146" s="6" t="s">
        <v>304</v>
      </c>
      <c r="E146" s="6"/>
      <c r="F146" s="6">
        <v>49</v>
      </c>
      <c r="G146" s="6" t="s">
        <v>235</v>
      </c>
      <c r="H146" s="6">
        <v>18</v>
      </c>
      <c r="I146" s="6" t="s">
        <v>236</v>
      </c>
      <c r="J146" s="6">
        <v>200</v>
      </c>
      <c r="K146" s="6">
        <v>95.4</v>
      </c>
      <c r="L146" s="6">
        <v>35.5</v>
      </c>
      <c r="M146" s="6">
        <v>0</v>
      </c>
      <c r="N146" s="6">
        <v>15.25</v>
      </c>
      <c r="O146" s="7">
        <f t="shared" si="2"/>
        <v>10429.847457627118</v>
      </c>
      <c r="P146" s="6">
        <v>12307.22</v>
      </c>
      <c r="Q146" s="6"/>
    </row>
    <row r="147" spans="1:17">
      <c r="A147" s="4">
        <v>45383</v>
      </c>
      <c r="B147" s="5" t="s">
        <v>306</v>
      </c>
      <c r="C147" s="6" t="s">
        <v>111</v>
      </c>
      <c r="D147" s="6" t="s">
        <v>304</v>
      </c>
      <c r="E147" s="6"/>
      <c r="F147" s="6">
        <v>50</v>
      </c>
      <c r="G147" s="6" t="s">
        <v>267</v>
      </c>
      <c r="H147" s="6">
        <v>18</v>
      </c>
      <c r="I147" s="6" t="s">
        <v>268</v>
      </c>
      <c r="J147" s="6">
        <v>40</v>
      </c>
      <c r="K147" s="6">
        <v>129.5</v>
      </c>
      <c r="L147" s="6">
        <v>17</v>
      </c>
      <c r="M147" s="6">
        <v>0</v>
      </c>
      <c r="N147" s="6">
        <v>15.25</v>
      </c>
      <c r="O147" s="7">
        <f t="shared" si="2"/>
        <v>3643.7457627118647</v>
      </c>
      <c r="P147" s="6">
        <v>4299.62</v>
      </c>
      <c r="Q147" s="6"/>
    </row>
    <row r="148" spans="1:17">
      <c r="A148" s="4">
        <v>45383</v>
      </c>
      <c r="B148" s="5" t="s">
        <v>706</v>
      </c>
      <c r="C148" s="6" t="s">
        <v>269</v>
      </c>
      <c r="D148" s="6" t="s">
        <v>304</v>
      </c>
      <c r="E148" s="6"/>
      <c r="F148" s="6">
        <v>51</v>
      </c>
      <c r="G148" s="6" t="s">
        <v>270</v>
      </c>
      <c r="H148" s="6">
        <v>18</v>
      </c>
      <c r="I148" s="6" t="s">
        <v>271</v>
      </c>
      <c r="J148" s="6">
        <v>70</v>
      </c>
      <c r="K148" s="6">
        <v>45</v>
      </c>
      <c r="L148" s="6">
        <v>17</v>
      </c>
      <c r="M148" s="6">
        <v>0</v>
      </c>
      <c r="N148" s="6">
        <v>15.25</v>
      </c>
      <c r="O148" s="7">
        <f t="shared" si="2"/>
        <v>2215.7881355932204</v>
      </c>
      <c r="P148" s="6">
        <v>2614.63</v>
      </c>
      <c r="Q148" s="6"/>
    </row>
    <row r="149" spans="1:17">
      <c r="A149" s="4">
        <v>45383</v>
      </c>
      <c r="B149" s="5" t="s">
        <v>706</v>
      </c>
      <c r="C149" s="6" t="s">
        <v>269</v>
      </c>
      <c r="D149" s="6" t="s">
        <v>304</v>
      </c>
      <c r="E149" s="6"/>
      <c r="F149" s="6">
        <v>51</v>
      </c>
      <c r="G149" s="6" t="s">
        <v>272</v>
      </c>
      <c r="H149" s="6">
        <v>18</v>
      </c>
      <c r="I149" s="6" t="s">
        <v>273</v>
      </c>
      <c r="J149" s="6">
        <v>21</v>
      </c>
      <c r="K149" s="6">
        <v>50</v>
      </c>
      <c r="L149" s="6">
        <v>0</v>
      </c>
      <c r="M149" s="6">
        <v>0</v>
      </c>
      <c r="N149" s="6">
        <v>15.25</v>
      </c>
      <c r="O149" s="7">
        <f t="shared" si="2"/>
        <v>889.88135593220341</v>
      </c>
      <c r="P149" s="6">
        <v>1050.06</v>
      </c>
      <c r="Q149" s="6"/>
    </row>
    <row r="150" spans="1:17">
      <c r="A150" s="4">
        <v>45383</v>
      </c>
      <c r="B150" s="5" t="s">
        <v>306</v>
      </c>
      <c r="C150" s="6" t="s">
        <v>111</v>
      </c>
      <c r="D150" s="6" t="s">
        <v>304</v>
      </c>
      <c r="E150" s="6"/>
      <c r="F150" s="6">
        <v>52</v>
      </c>
      <c r="G150" s="6" t="s">
        <v>274</v>
      </c>
      <c r="H150" s="6">
        <v>18</v>
      </c>
      <c r="I150" s="6" t="s">
        <v>275</v>
      </c>
      <c r="J150" s="6">
        <v>77</v>
      </c>
      <c r="K150" s="6">
        <v>58.5</v>
      </c>
      <c r="L150" s="6">
        <v>17</v>
      </c>
      <c r="M150" s="6">
        <v>0</v>
      </c>
      <c r="N150" s="6">
        <v>15.25</v>
      </c>
      <c r="O150" s="7">
        <f t="shared" si="2"/>
        <v>3168.5762711864409</v>
      </c>
      <c r="P150" s="6">
        <v>3738.92</v>
      </c>
      <c r="Q150" s="6"/>
    </row>
    <row r="151" spans="1:17">
      <c r="A151" s="4">
        <v>45383</v>
      </c>
      <c r="B151" s="5" t="s">
        <v>306</v>
      </c>
      <c r="C151" s="6" t="s">
        <v>111</v>
      </c>
      <c r="D151" s="6" t="s">
        <v>304</v>
      </c>
      <c r="E151" s="6"/>
      <c r="F151" s="6">
        <v>52</v>
      </c>
      <c r="G151" s="6" t="s">
        <v>56</v>
      </c>
      <c r="H151" s="6">
        <v>18</v>
      </c>
      <c r="I151" s="6" t="s">
        <v>57</v>
      </c>
      <c r="J151" s="6">
        <v>18</v>
      </c>
      <c r="K151" s="6">
        <v>4.6500000000000004</v>
      </c>
      <c r="L151" s="6">
        <v>17</v>
      </c>
      <c r="M151" s="6">
        <v>0</v>
      </c>
      <c r="N151" s="6">
        <v>15.25</v>
      </c>
      <c r="O151" s="7">
        <f t="shared" si="2"/>
        <v>58.881355932203398</v>
      </c>
      <c r="P151" s="6">
        <v>69.48</v>
      </c>
      <c r="Q151" s="6"/>
    </row>
    <row r="152" spans="1:17">
      <c r="A152" s="4">
        <v>45383</v>
      </c>
      <c r="B152" s="5" t="s">
        <v>692</v>
      </c>
      <c r="C152" s="6" t="s">
        <v>75</v>
      </c>
      <c r="D152" s="6" t="s">
        <v>304</v>
      </c>
      <c r="E152" s="6"/>
      <c r="F152" s="6">
        <v>53</v>
      </c>
      <c r="G152" s="6" t="s">
        <v>28</v>
      </c>
      <c r="H152" s="6">
        <v>18</v>
      </c>
      <c r="I152" s="6" t="s">
        <v>29</v>
      </c>
      <c r="J152" s="6">
        <v>40</v>
      </c>
      <c r="K152" s="6">
        <v>57</v>
      </c>
      <c r="L152" s="6">
        <v>17</v>
      </c>
      <c r="M152" s="6">
        <v>0</v>
      </c>
      <c r="N152" s="6">
        <v>15.25</v>
      </c>
      <c r="O152" s="7">
        <f t="shared" si="2"/>
        <v>1603.8050847457628</v>
      </c>
      <c r="P152" s="6">
        <v>1892.49</v>
      </c>
      <c r="Q152" s="6"/>
    </row>
    <row r="153" spans="1:17">
      <c r="A153" s="4">
        <v>45383</v>
      </c>
      <c r="B153" s="5" t="s">
        <v>486</v>
      </c>
      <c r="C153" s="6" t="s">
        <v>276</v>
      </c>
      <c r="D153" s="6" t="s">
        <v>304</v>
      </c>
      <c r="E153" s="6"/>
      <c r="F153" s="6">
        <v>54</v>
      </c>
      <c r="G153" s="6" t="s">
        <v>277</v>
      </c>
      <c r="H153" s="6">
        <v>18</v>
      </c>
      <c r="I153" s="6" t="s">
        <v>278</v>
      </c>
      <c r="J153" s="6">
        <v>1</v>
      </c>
      <c r="K153" s="6">
        <v>103.25</v>
      </c>
      <c r="L153" s="6">
        <v>14.5</v>
      </c>
      <c r="M153" s="6">
        <v>0</v>
      </c>
      <c r="N153" s="6">
        <v>15.25</v>
      </c>
      <c r="O153" s="7">
        <f t="shared" si="2"/>
        <v>74.813559322033896</v>
      </c>
      <c r="P153" s="6">
        <v>88.28</v>
      </c>
      <c r="Q153" s="6"/>
    </row>
    <row r="154" spans="1:17">
      <c r="A154" s="4">
        <v>45383</v>
      </c>
      <c r="B154" s="5" t="s">
        <v>486</v>
      </c>
      <c r="C154" s="6" t="s">
        <v>276</v>
      </c>
      <c r="D154" s="6" t="s">
        <v>304</v>
      </c>
      <c r="E154" s="6"/>
      <c r="F154" s="6">
        <v>54</v>
      </c>
      <c r="G154" s="6" t="s">
        <v>279</v>
      </c>
      <c r="H154" s="6">
        <v>18</v>
      </c>
      <c r="I154" s="6" t="s">
        <v>280</v>
      </c>
      <c r="J154" s="6">
        <v>1</v>
      </c>
      <c r="K154" s="6">
        <v>135.25</v>
      </c>
      <c r="L154" s="6">
        <v>14.5</v>
      </c>
      <c r="M154" s="6">
        <v>0</v>
      </c>
      <c r="N154" s="6">
        <v>15.25</v>
      </c>
      <c r="O154" s="7">
        <f t="shared" si="2"/>
        <v>98</v>
      </c>
      <c r="P154" s="6">
        <v>115.64</v>
      </c>
      <c r="Q154" s="6"/>
    </row>
    <row r="155" spans="1:17">
      <c r="A155" s="4">
        <v>45383</v>
      </c>
      <c r="B155" s="5" t="s">
        <v>486</v>
      </c>
      <c r="C155" s="6" t="s">
        <v>276</v>
      </c>
      <c r="D155" s="6" t="s">
        <v>304</v>
      </c>
      <c r="E155" s="6"/>
      <c r="F155" s="6">
        <v>54</v>
      </c>
      <c r="G155" s="6" t="s">
        <v>281</v>
      </c>
      <c r="H155" s="6">
        <v>18</v>
      </c>
      <c r="I155" s="6" t="s">
        <v>282</v>
      </c>
      <c r="J155" s="6">
        <v>4</v>
      </c>
      <c r="K155" s="6">
        <v>220.5</v>
      </c>
      <c r="L155" s="6">
        <v>14.5</v>
      </c>
      <c r="M155" s="6">
        <v>0</v>
      </c>
      <c r="N155" s="6">
        <v>15.25</v>
      </c>
      <c r="O155" s="7">
        <f t="shared" si="2"/>
        <v>639.11016949152543</v>
      </c>
      <c r="P155" s="6">
        <v>754.15</v>
      </c>
      <c r="Q155" s="6"/>
    </row>
    <row r="156" spans="1:17">
      <c r="A156" s="4">
        <v>45383</v>
      </c>
      <c r="B156" s="5" t="s">
        <v>486</v>
      </c>
      <c r="C156" s="6" t="s">
        <v>276</v>
      </c>
      <c r="D156" s="6" t="s">
        <v>304</v>
      </c>
      <c r="E156" s="6"/>
      <c r="F156" s="6">
        <v>54</v>
      </c>
      <c r="G156" s="6" t="s">
        <v>283</v>
      </c>
      <c r="H156" s="6">
        <v>18</v>
      </c>
      <c r="I156" s="6" t="s">
        <v>284</v>
      </c>
      <c r="J156" s="6">
        <v>1</v>
      </c>
      <c r="K156" s="6">
        <v>256</v>
      </c>
      <c r="L156" s="6">
        <v>14.5</v>
      </c>
      <c r="M156" s="6">
        <v>0</v>
      </c>
      <c r="N156" s="6">
        <v>15.25</v>
      </c>
      <c r="O156" s="7">
        <f t="shared" si="2"/>
        <v>185.5084745762712</v>
      </c>
      <c r="P156" s="6">
        <v>218.9</v>
      </c>
      <c r="Q156" s="6"/>
    </row>
    <row r="157" spans="1:17">
      <c r="A157" s="4">
        <v>45383</v>
      </c>
      <c r="B157" s="5" t="s">
        <v>486</v>
      </c>
      <c r="C157" s="6" t="s">
        <v>276</v>
      </c>
      <c r="D157" s="6" t="s">
        <v>304</v>
      </c>
      <c r="E157" s="6"/>
      <c r="F157" s="6">
        <v>54</v>
      </c>
      <c r="G157" s="6" t="s">
        <v>285</v>
      </c>
      <c r="H157" s="6">
        <v>18</v>
      </c>
      <c r="I157" s="6" t="s">
        <v>286</v>
      </c>
      <c r="J157" s="6">
        <v>2</v>
      </c>
      <c r="K157" s="6">
        <v>380.5</v>
      </c>
      <c r="L157" s="6">
        <v>14.5</v>
      </c>
      <c r="M157" s="6">
        <v>0</v>
      </c>
      <c r="N157" s="6">
        <v>15.25</v>
      </c>
      <c r="O157" s="7">
        <f t="shared" si="2"/>
        <v>551.43220338983053</v>
      </c>
      <c r="P157" s="6">
        <v>650.69000000000005</v>
      </c>
      <c r="Q157" s="6"/>
    </row>
    <row r="158" spans="1:17">
      <c r="A158" s="4">
        <v>45383</v>
      </c>
      <c r="B158" s="5" t="s">
        <v>486</v>
      </c>
      <c r="C158" s="6" t="s">
        <v>276</v>
      </c>
      <c r="D158" s="6" t="s">
        <v>304</v>
      </c>
      <c r="E158" s="6"/>
      <c r="F158" s="6">
        <v>54</v>
      </c>
      <c r="G158" s="6" t="s">
        <v>287</v>
      </c>
      <c r="H158" s="6">
        <v>18</v>
      </c>
      <c r="I158" s="6" t="s">
        <v>288</v>
      </c>
      <c r="J158" s="6">
        <v>1</v>
      </c>
      <c r="K158" s="6">
        <v>441</v>
      </c>
      <c r="L158" s="6">
        <v>14.5</v>
      </c>
      <c r="M158" s="6">
        <v>0</v>
      </c>
      <c r="N158" s="6">
        <v>15.25</v>
      </c>
      <c r="O158" s="7">
        <f t="shared" si="2"/>
        <v>319.5593220338983</v>
      </c>
      <c r="P158" s="6">
        <v>377.08</v>
      </c>
      <c r="Q158" s="6"/>
    </row>
    <row r="159" spans="1:17">
      <c r="A159" s="4">
        <v>45383</v>
      </c>
      <c r="B159" s="5" t="s">
        <v>486</v>
      </c>
      <c r="C159" s="6" t="s">
        <v>276</v>
      </c>
      <c r="D159" s="6" t="s">
        <v>304</v>
      </c>
      <c r="E159" s="6"/>
      <c r="F159" s="6">
        <v>54</v>
      </c>
      <c r="G159" s="6" t="s">
        <v>289</v>
      </c>
      <c r="H159" s="6">
        <v>18</v>
      </c>
      <c r="I159" s="6" t="s">
        <v>290</v>
      </c>
      <c r="J159" s="6">
        <v>4</v>
      </c>
      <c r="K159" s="6">
        <v>47.5</v>
      </c>
      <c r="L159" s="6">
        <v>14.5</v>
      </c>
      <c r="M159" s="6">
        <v>0</v>
      </c>
      <c r="N159" s="6">
        <v>15.25</v>
      </c>
      <c r="O159" s="7">
        <f t="shared" si="2"/>
        <v>137.67796610169492</v>
      </c>
      <c r="P159" s="6">
        <v>162.46</v>
      </c>
      <c r="Q159" s="6"/>
    </row>
    <row r="160" spans="1:17">
      <c r="A160" s="4">
        <v>45383</v>
      </c>
      <c r="B160" s="5" t="s">
        <v>486</v>
      </c>
      <c r="C160" s="6" t="s">
        <v>276</v>
      </c>
      <c r="D160" s="6" t="s">
        <v>304</v>
      </c>
      <c r="E160" s="6"/>
      <c r="F160" s="6">
        <v>54</v>
      </c>
      <c r="G160" s="6" t="s">
        <v>291</v>
      </c>
      <c r="H160" s="6">
        <v>18</v>
      </c>
      <c r="I160" s="6" t="s">
        <v>292</v>
      </c>
      <c r="J160" s="6">
        <v>3</v>
      </c>
      <c r="K160" s="6">
        <v>180</v>
      </c>
      <c r="L160" s="6">
        <v>14.5</v>
      </c>
      <c r="M160" s="6">
        <v>0</v>
      </c>
      <c r="N160" s="6">
        <v>15.25</v>
      </c>
      <c r="O160" s="7">
        <f t="shared" si="2"/>
        <v>391.29661016949154</v>
      </c>
      <c r="P160" s="6">
        <v>461.73</v>
      </c>
      <c r="Q160" s="6"/>
    </row>
    <row r="161" spans="1:17">
      <c r="A161" s="4">
        <v>45383</v>
      </c>
      <c r="B161" s="5" t="s">
        <v>486</v>
      </c>
      <c r="C161" s="6" t="s">
        <v>276</v>
      </c>
      <c r="D161" s="6" t="s">
        <v>304</v>
      </c>
      <c r="E161" s="6"/>
      <c r="F161" s="6">
        <v>54</v>
      </c>
      <c r="G161" s="6" t="s">
        <v>293</v>
      </c>
      <c r="H161" s="6">
        <v>18</v>
      </c>
      <c r="I161" s="6" t="s">
        <v>294</v>
      </c>
      <c r="J161" s="6">
        <v>2</v>
      </c>
      <c r="K161" s="6">
        <v>295</v>
      </c>
      <c r="L161" s="6">
        <v>14.5</v>
      </c>
      <c r="M161" s="6">
        <v>0</v>
      </c>
      <c r="N161" s="6">
        <v>15.25</v>
      </c>
      <c r="O161" s="7">
        <f t="shared" si="2"/>
        <v>427.52542372881362</v>
      </c>
      <c r="P161" s="6">
        <v>504.48</v>
      </c>
      <c r="Q161" s="6"/>
    </row>
    <row r="162" spans="1:17">
      <c r="A162" s="4">
        <v>45383</v>
      </c>
      <c r="B162" s="5" t="s">
        <v>486</v>
      </c>
      <c r="C162" s="6" t="s">
        <v>276</v>
      </c>
      <c r="D162" s="6" t="s">
        <v>304</v>
      </c>
      <c r="E162" s="6"/>
      <c r="F162" s="6">
        <v>54</v>
      </c>
      <c r="G162" s="6" t="s">
        <v>295</v>
      </c>
      <c r="H162" s="6">
        <v>18</v>
      </c>
      <c r="I162" s="6" t="s">
        <v>296</v>
      </c>
      <c r="J162" s="6">
        <v>20</v>
      </c>
      <c r="K162" s="6">
        <v>41</v>
      </c>
      <c r="L162" s="6">
        <v>14.5</v>
      </c>
      <c r="M162" s="6">
        <v>0</v>
      </c>
      <c r="N162" s="6">
        <v>15.25</v>
      </c>
      <c r="O162" s="7">
        <f t="shared" si="2"/>
        <v>594.18644067796617</v>
      </c>
      <c r="P162" s="6">
        <v>701.14</v>
      </c>
      <c r="Q162" s="6"/>
    </row>
    <row r="163" spans="1:17">
      <c r="A163" s="4">
        <v>45383</v>
      </c>
      <c r="B163" s="5" t="s">
        <v>486</v>
      </c>
      <c r="C163" s="6" t="s">
        <v>276</v>
      </c>
      <c r="D163" s="6" t="s">
        <v>304</v>
      </c>
      <c r="E163" s="6"/>
      <c r="F163" s="6">
        <v>55</v>
      </c>
      <c r="G163" s="6" t="s">
        <v>54</v>
      </c>
      <c r="H163" s="6">
        <v>18</v>
      </c>
      <c r="I163" s="6" t="s">
        <v>55</v>
      </c>
      <c r="J163" s="6">
        <v>68</v>
      </c>
      <c r="K163" s="6">
        <v>12.65</v>
      </c>
      <c r="L163" s="6">
        <v>14.5</v>
      </c>
      <c r="M163" s="6">
        <v>0</v>
      </c>
      <c r="N163" s="6">
        <v>15.25</v>
      </c>
      <c r="O163" s="7">
        <f t="shared" si="2"/>
        <v>623.31355932203394</v>
      </c>
      <c r="P163" s="6">
        <v>735.51</v>
      </c>
      <c r="Q163" s="6"/>
    </row>
    <row r="164" spans="1:17">
      <c r="A164" s="4">
        <v>45383</v>
      </c>
      <c r="B164" s="5" t="s">
        <v>887</v>
      </c>
      <c r="C164" s="6" t="s">
        <v>61</v>
      </c>
      <c r="D164" s="6" t="s">
        <v>304</v>
      </c>
      <c r="E164" s="6"/>
      <c r="F164" s="6">
        <v>56</v>
      </c>
      <c r="G164" s="6" t="s">
        <v>297</v>
      </c>
      <c r="H164" s="6">
        <v>18</v>
      </c>
      <c r="I164" s="6" t="s">
        <v>298</v>
      </c>
      <c r="J164" s="6">
        <v>28</v>
      </c>
      <c r="K164" s="6">
        <v>23</v>
      </c>
      <c r="L164" s="6">
        <v>17</v>
      </c>
      <c r="M164" s="6">
        <v>0</v>
      </c>
      <c r="N164" s="6">
        <v>15.25</v>
      </c>
      <c r="O164" s="7">
        <f t="shared" si="2"/>
        <v>453.00847457627117</v>
      </c>
      <c r="P164" s="6">
        <v>534.54999999999995</v>
      </c>
      <c r="Q164" s="6"/>
    </row>
    <row r="165" spans="1:17">
      <c r="A165" s="4">
        <v>45383</v>
      </c>
      <c r="B165" s="5" t="s">
        <v>310</v>
      </c>
      <c r="C165" s="6" t="s">
        <v>158</v>
      </c>
      <c r="D165" s="6" t="s">
        <v>304</v>
      </c>
      <c r="E165" s="6"/>
      <c r="F165" s="6">
        <v>57</v>
      </c>
      <c r="G165" s="6" t="s">
        <v>94</v>
      </c>
      <c r="H165" s="6">
        <v>18</v>
      </c>
      <c r="I165" s="6" t="s">
        <v>95</v>
      </c>
      <c r="J165" s="6">
        <v>80</v>
      </c>
      <c r="K165" s="6">
        <v>54</v>
      </c>
      <c r="L165" s="6">
        <v>17</v>
      </c>
      <c r="M165" s="6">
        <v>0</v>
      </c>
      <c r="N165" s="6">
        <v>15.25</v>
      </c>
      <c r="O165" s="7">
        <f t="shared" si="2"/>
        <v>3038.7966101694919</v>
      </c>
      <c r="P165" s="6">
        <v>3585.78</v>
      </c>
      <c r="Q165" s="6"/>
    </row>
    <row r="166" spans="1:17">
      <c r="A166" s="4">
        <v>45383</v>
      </c>
      <c r="B166" s="5" t="s">
        <v>308</v>
      </c>
      <c r="C166" s="6" t="s">
        <v>148</v>
      </c>
      <c r="D166" s="6" t="s">
        <v>304</v>
      </c>
      <c r="E166" s="6"/>
      <c r="F166" s="6">
        <v>58</v>
      </c>
      <c r="G166" s="6" t="s">
        <v>299</v>
      </c>
      <c r="H166" s="6">
        <v>18</v>
      </c>
      <c r="I166" s="6" t="s">
        <v>300</v>
      </c>
      <c r="J166" s="6">
        <v>8</v>
      </c>
      <c r="K166" s="6">
        <v>242</v>
      </c>
      <c r="L166" s="6">
        <v>14.5</v>
      </c>
      <c r="M166" s="6">
        <v>0</v>
      </c>
      <c r="N166" s="6">
        <v>15.25</v>
      </c>
      <c r="O166" s="7">
        <f t="shared" si="2"/>
        <v>1402.8559322033898</v>
      </c>
      <c r="P166" s="6">
        <v>1655.37</v>
      </c>
      <c r="Q166" s="6"/>
    </row>
    <row r="167" spans="1:17">
      <c r="A167" s="4">
        <v>45383</v>
      </c>
      <c r="B167" s="5" t="s">
        <v>400</v>
      </c>
      <c r="C167" s="6" t="s">
        <v>301</v>
      </c>
      <c r="D167" s="6" t="s">
        <v>304</v>
      </c>
      <c r="E167" s="6"/>
      <c r="F167" s="6">
        <v>59</v>
      </c>
      <c r="G167" s="6" t="s">
        <v>302</v>
      </c>
      <c r="H167" s="6">
        <v>18</v>
      </c>
      <c r="I167" s="6" t="s">
        <v>303</v>
      </c>
      <c r="J167" s="6">
        <v>11</v>
      </c>
      <c r="K167" s="6">
        <v>58.5</v>
      </c>
      <c r="L167" s="6">
        <v>14.5</v>
      </c>
      <c r="M167" s="6">
        <v>0</v>
      </c>
      <c r="N167" s="6">
        <v>15.25</v>
      </c>
      <c r="O167" s="7">
        <f t="shared" si="2"/>
        <v>466.29661016949154</v>
      </c>
      <c r="P167" s="6">
        <v>550.23</v>
      </c>
      <c r="Q167" s="6"/>
    </row>
    <row r="168" spans="1:17">
      <c r="A168" s="4">
        <v>45383</v>
      </c>
      <c r="B168" s="5" t="s">
        <v>400</v>
      </c>
      <c r="C168" s="6" t="s">
        <v>301</v>
      </c>
      <c r="D168" s="6" t="s">
        <v>304</v>
      </c>
      <c r="E168" s="6"/>
      <c r="F168" s="6">
        <v>59</v>
      </c>
      <c r="G168" s="6" t="s">
        <v>289</v>
      </c>
      <c r="H168" s="6">
        <v>18</v>
      </c>
      <c r="I168" s="6" t="s">
        <v>290</v>
      </c>
      <c r="J168" s="6">
        <v>1</v>
      </c>
      <c r="K168" s="6">
        <v>47.5</v>
      </c>
      <c r="L168" s="6">
        <v>14.5</v>
      </c>
      <c r="M168" s="6">
        <v>0</v>
      </c>
      <c r="N168" s="6">
        <v>15.25</v>
      </c>
      <c r="O168" s="7">
        <f t="shared" si="2"/>
        <v>34.423728813559322</v>
      </c>
      <c r="P168" s="6">
        <v>40.619999999999997</v>
      </c>
      <c r="Q168" s="6"/>
    </row>
  </sheetData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11"/>
  <sheetViews>
    <sheetView topLeftCell="A254" workbookViewId="0">
      <selection activeCell="A255" sqref="A255"/>
    </sheetView>
  </sheetViews>
  <sheetFormatPr defaultRowHeight="15"/>
  <cols>
    <col min="1" max="1" width="51.140625" bestFit="1" customWidth="1"/>
    <col min="2" max="2" width="6.85546875" bestFit="1" customWidth="1"/>
  </cols>
  <sheetData>
    <row r="1" spans="1:2">
      <c r="A1" s="1" t="s">
        <v>312</v>
      </c>
      <c r="B1" s="1" t="s">
        <v>16</v>
      </c>
    </row>
    <row r="2" spans="1:2" ht="30">
      <c r="A2" s="2" t="s">
        <v>314</v>
      </c>
      <c r="B2" s="2" t="s">
        <v>313</v>
      </c>
    </row>
    <row r="3" spans="1:2" ht="30">
      <c r="A3" s="2" t="s">
        <v>316</v>
      </c>
      <c r="B3" s="2" t="s">
        <v>315</v>
      </c>
    </row>
    <row r="4" spans="1:2" ht="30">
      <c r="A4" s="2" t="s">
        <v>318</v>
      </c>
      <c r="B4" s="2" t="s">
        <v>317</v>
      </c>
    </row>
    <row r="5" spans="1:2" ht="30">
      <c r="A5" s="2" t="s">
        <v>320</v>
      </c>
      <c r="B5" s="2" t="s">
        <v>319</v>
      </c>
    </row>
    <row r="6" spans="1:2" ht="30">
      <c r="A6" s="2" t="s">
        <v>322</v>
      </c>
      <c r="B6" s="2" t="s">
        <v>321</v>
      </c>
    </row>
    <row r="7" spans="1:2" ht="30">
      <c r="A7" s="2" t="s">
        <v>324</v>
      </c>
      <c r="B7" s="2" t="s">
        <v>323</v>
      </c>
    </row>
    <row r="8" spans="1:2" ht="30">
      <c r="A8" s="2" t="s">
        <v>326</v>
      </c>
      <c r="B8" s="2" t="s">
        <v>325</v>
      </c>
    </row>
    <row r="9" spans="1:2" ht="30">
      <c r="A9" s="2" t="s">
        <v>328</v>
      </c>
      <c r="B9" s="2" t="s">
        <v>327</v>
      </c>
    </row>
    <row r="10" spans="1:2" ht="30">
      <c r="A10" s="2" t="s">
        <v>330</v>
      </c>
      <c r="B10" s="2" t="s">
        <v>329</v>
      </c>
    </row>
    <row r="11" spans="1:2" ht="30">
      <c r="A11" s="2" t="s">
        <v>332</v>
      </c>
      <c r="B11" s="2" t="s">
        <v>331</v>
      </c>
    </row>
    <row r="12" spans="1:2" ht="30">
      <c r="A12" s="2" t="s">
        <v>334</v>
      </c>
      <c r="B12" s="2" t="s">
        <v>333</v>
      </c>
    </row>
    <row r="13" spans="1:2" ht="30">
      <c r="A13" s="2" t="s">
        <v>336</v>
      </c>
      <c r="B13" s="2" t="s">
        <v>335</v>
      </c>
    </row>
    <row r="14" spans="1:2" ht="30">
      <c r="A14" s="2" t="s">
        <v>338</v>
      </c>
      <c r="B14" s="2" t="s">
        <v>337</v>
      </c>
    </row>
    <row r="15" spans="1:2" ht="30">
      <c r="A15" s="2" t="s">
        <v>340</v>
      </c>
      <c r="B15" s="2" t="s">
        <v>339</v>
      </c>
    </row>
    <row r="16" spans="1:2" ht="30">
      <c r="A16" s="2" t="s">
        <v>342</v>
      </c>
      <c r="B16" s="2" t="s">
        <v>341</v>
      </c>
    </row>
    <row r="17" spans="1:2" ht="30">
      <c r="A17" s="2" t="s">
        <v>344</v>
      </c>
      <c r="B17" s="2" t="s">
        <v>343</v>
      </c>
    </row>
    <row r="18" spans="1:2" ht="30">
      <c r="A18" s="2" t="s">
        <v>346</v>
      </c>
      <c r="B18" s="2" t="s">
        <v>345</v>
      </c>
    </row>
    <row r="19" spans="1:2" ht="30">
      <c r="A19" s="2" t="s">
        <v>348</v>
      </c>
      <c r="B19" s="2" t="s">
        <v>347</v>
      </c>
    </row>
    <row r="20" spans="1:2" ht="30">
      <c r="A20" s="2" t="s">
        <v>350</v>
      </c>
      <c r="B20" s="2" t="s">
        <v>349</v>
      </c>
    </row>
    <row r="21" spans="1:2" ht="30">
      <c r="A21" s="2" t="s">
        <v>352</v>
      </c>
      <c r="B21" s="2" t="s">
        <v>351</v>
      </c>
    </row>
    <row r="22" spans="1:2" ht="30">
      <c r="A22" s="2" t="s">
        <v>354</v>
      </c>
      <c r="B22" s="2" t="s">
        <v>353</v>
      </c>
    </row>
    <row r="23" spans="1:2" ht="30">
      <c r="A23" s="2" t="s">
        <v>356</v>
      </c>
      <c r="B23" s="2" t="s">
        <v>355</v>
      </c>
    </row>
    <row r="24" spans="1:2" ht="30">
      <c r="A24" s="2" t="s">
        <v>358</v>
      </c>
      <c r="B24" s="2" t="s">
        <v>357</v>
      </c>
    </row>
    <row r="25" spans="1:2" ht="30">
      <c r="A25" s="2" t="s">
        <v>25</v>
      </c>
      <c r="B25" s="2" t="s">
        <v>305</v>
      </c>
    </row>
    <row r="26" spans="1:2" ht="30">
      <c r="A26" s="2" t="s">
        <v>360</v>
      </c>
      <c r="B26" s="2" t="s">
        <v>359</v>
      </c>
    </row>
    <row r="27" spans="1:2" ht="30">
      <c r="A27" s="2" t="s">
        <v>362</v>
      </c>
      <c r="B27" s="2" t="s">
        <v>361</v>
      </c>
    </row>
    <row r="28" spans="1:2" ht="30">
      <c r="A28" s="2" t="s">
        <v>364</v>
      </c>
      <c r="B28" s="2" t="s">
        <v>363</v>
      </c>
    </row>
    <row r="29" spans="1:2" ht="30">
      <c r="A29" s="2" t="s">
        <v>366</v>
      </c>
      <c r="B29" s="2" t="s">
        <v>365</v>
      </c>
    </row>
    <row r="30" spans="1:2" ht="30">
      <c r="A30" s="2" t="s">
        <v>368</v>
      </c>
      <c r="B30" s="2" t="s">
        <v>367</v>
      </c>
    </row>
    <row r="31" spans="1:2" ht="30">
      <c r="A31" s="2" t="s">
        <v>370</v>
      </c>
      <c r="B31" s="2" t="s">
        <v>369</v>
      </c>
    </row>
    <row r="32" spans="1:2" ht="30">
      <c r="A32" s="2" t="s">
        <v>372</v>
      </c>
      <c r="B32" s="2" t="s">
        <v>371</v>
      </c>
    </row>
    <row r="33" spans="1:2" ht="30">
      <c r="A33" s="2" t="s">
        <v>38</v>
      </c>
      <c r="B33" s="2" t="s">
        <v>373</v>
      </c>
    </row>
    <row r="34" spans="1:2" ht="30">
      <c r="A34" s="2" t="s">
        <v>375</v>
      </c>
      <c r="B34" s="2" t="s">
        <v>374</v>
      </c>
    </row>
    <row r="35" spans="1:2" ht="30">
      <c r="A35" s="2" t="s">
        <v>377</v>
      </c>
      <c r="B35" s="2" t="s">
        <v>376</v>
      </c>
    </row>
    <row r="36" spans="1:2" ht="30">
      <c r="A36" s="2" t="s">
        <v>379</v>
      </c>
      <c r="B36" s="2" t="s">
        <v>378</v>
      </c>
    </row>
    <row r="37" spans="1:2" ht="30">
      <c r="A37" s="2" t="s">
        <v>381</v>
      </c>
      <c r="B37" s="2" t="s">
        <v>380</v>
      </c>
    </row>
    <row r="38" spans="1:2" ht="30">
      <c r="A38" s="2" t="s">
        <v>383</v>
      </c>
      <c r="B38" s="2" t="s">
        <v>382</v>
      </c>
    </row>
    <row r="39" spans="1:2" ht="30">
      <c r="A39" s="2" t="s">
        <v>385</v>
      </c>
      <c r="B39" s="2" t="s">
        <v>384</v>
      </c>
    </row>
    <row r="40" spans="1:2" ht="30">
      <c r="A40" s="2" t="s">
        <v>387</v>
      </c>
      <c r="B40" s="2" t="s">
        <v>386</v>
      </c>
    </row>
    <row r="41" spans="1:2" ht="30">
      <c r="A41" s="2" t="s">
        <v>389</v>
      </c>
      <c r="B41" s="2" t="s">
        <v>388</v>
      </c>
    </row>
    <row r="42" spans="1:2" ht="30">
      <c r="A42" s="2" t="s">
        <v>391</v>
      </c>
      <c r="B42" s="2" t="s">
        <v>390</v>
      </c>
    </row>
    <row r="43" spans="1:2" ht="30">
      <c r="A43" s="2" t="s">
        <v>393</v>
      </c>
      <c r="B43" s="2" t="s">
        <v>392</v>
      </c>
    </row>
    <row r="44" spans="1:2" ht="30">
      <c r="A44" s="2" t="s">
        <v>395</v>
      </c>
      <c r="B44" s="2" t="s">
        <v>394</v>
      </c>
    </row>
    <row r="45" spans="1:2" ht="30">
      <c r="A45" s="2" t="s">
        <v>397</v>
      </c>
      <c r="B45" s="2" t="s">
        <v>396</v>
      </c>
    </row>
    <row r="46" spans="1:2" ht="30">
      <c r="A46" s="2" t="s">
        <v>399</v>
      </c>
      <c r="B46" s="2" t="s">
        <v>398</v>
      </c>
    </row>
    <row r="47" spans="1:2" ht="30">
      <c r="A47" s="2" t="s">
        <v>301</v>
      </c>
      <c r="B47" s="2" t="s">
        <v>400</v>
      </c>
    </row>
    <row r="48" spans="1:2" ht="30">
      <c r="A48" s="2" t="s">
        <v>402</v>
      </c>
      <c r="B48" s="2" t="s">
        <v>401</v>
      </c>
    </row>
    <row r="49" spans="1:2" ht="30">
      <c r="A49" s="2" t="s">
        <v>404</v>
      </c>
      <c r="B49" s="2" t="s">
        <v>403</v>
      </c>
    </row>
    <row r="50" spans="1:2" ht="30">
      <c r="A50" s="2" t="s">
        <v>406</v>
      </c>
      <c r="B50" s="2" t="s">
        <v>405</v>
      </c>
    </row>
    <row r="51" spans="1:2" ht="30">
      <c r="A51" s="2" t="s">
        <v>408</v>
      </c>
      <c r="B51" s="2" t="s">
        <v>407</v>
      </c>
    </row>
    <row r="52" spans="1:2" ht="30">
      <c r="A52" s="2" t="s">
        <v>410</v>
      </c>
      <c r="B52" s="2" t="s">
        <v>409</v>
      </c>
    </row>
    <row r="53" spans="1:2" ht="30">
      <c r="A53" s="2" t="s">
        <v>412</v>
      </c>
      <c r="B53" s="2" t="s">
        <v>411</v>
      </c>
    </row>
    <row r="54" spans="1:2" ht="30">
      <c r="A54" s="2" t="s">
        <v>414</v>
      </c>
      <c r="B54" s="2" t="s">
        <v>413</v>
      </c>
    </row>
    <row r="55" spans="1:2" ht="30">
      <c r="A55" s="2" t="s">
        <v>416</v>
      </c>
      <c r="B55" s="2" t="s">
        <v>415</v>
      </c>
    </row>
    <row r="56" spans="1:2" ht="30">
      <c r="A56" s="2" t="s">
        <v>418</v>
      </c>
      <c r="B56" s="2" t="s">
        <v>417</v>
      </c>
    </row>
    <row r="57" spans="1:2" ht="30">
      <c r="A57" s="2" t="s">
        <v>420</v>
      </c>
      <c r="B57" s="2" t="s">
        <v>419</v>
      </c>
    </row>
    <row r="58" spans="1:2" ht="30">
      <c r="A58" s="2" t="s">
        <v>422</v>
      </c>
      <c r="B58" s="2" t="s">
        <v>421</v>
      </c>
    </row>
    <row r="59" spans="1:2" ht="30">
      <c r="A59" s="2" t="s">
        <v>424</v>
      </c>
      <c r="B59" s="2" t="s">
        <v>423</v>
      </c>
    </row>
    <row r="60" spans="1:2" ht="30">
      <c r="A60" s="2" t="s">
        <v>426</v>
      </c>
      <c r="B60" s="2" t="s">
        <v>425</v>
      </c>
    </row>
    <row r="61" spans="1:2" ht="30">
      <c r="A61" s="2" t="s">
        <v>428</v>
      </c>
      <c r="B61" s="2" t="s">
        <v>427</v>
      </c>
    </row>
    <row r="62" spans="1:2" ht="30">
      <c r="A62" s="2" t="s">
        <v>430</v>
      </c>
      <c r="B62" s="2" t="s">
        <v>429</v>
      </c>
    </row>
    <row r="63" spans="1:2" ht="30">
      <c r="A63" s="2" t="s">
        <v>432</v>
      </c>
      <c r="B63" s="2" t="s">
        <v>431</v>
      </c>
    </row>
    <row r="64" spans="1:2" ht="30">
      <c r="A64" s="2" t="s">
        <v>434</v>
      </c>
      <c r="B64" s="2" t="s">
        <v>433</v>
      </c>
    </row>
    <row r="65" spans="1:2" ht="30">
      <c r="A65" s="2" t="s">
        <v>436</v>
      </c>
      <c r="B65" s="2" t="s">
        <v>435</v>
      </c>
    </row>
    <row r="66" spans="1:2" ht="30">
      <c r="A66" s="2" t="s">
        <v>438</v>
      </c>
      <c r="B66" s="2" t="s">
        <v>437</v>
      </c>
    </row>
    <row r="67" spans="1:2" ht="30">
      <c r="A67" s="2" t="s">
        <v>440</v>
      </c>
      <c r="B67" s="2" t="s">
        <v>439</v>
      </c>
    </row>
    <row r="68" spans="1:2" ht="30">
      <c r="A68" s="2" t="s">
        <v>442</v>
      </c>
      <c r="B68" s="2" t="s">
        <v>441</v>
      </c>
    </row>
    <row r="69" spans="1:2" ht="30">
      <c r="A69" s="2" t="s">
        <v>444</v>
      </c>
      <c r="B69" s="2" t="s">
        <v>443</v>
      </c>
    </row>
    <row r="70" spans="1:2" ht="30">
      <c r="A70" s="2" t="s">
        <v>446</v>
      </c>
      <c r="B70" s="2" t="s">
        <v>445</v>
      </c>
    </row>
    <row r="71" spans="1:2" ht="30">
      <c r="A71" s="2" t="s">
        <v>448</v>
      </c>
      <c r="B71" s="2" t="s">
        <v>447</v>
      </c>
    </row>
    <row r="72" spans="1:2" ht="30">
      <c r="A72" s="2" t="s">
        <v>450</v>
      </c>
      <c r="B72" s="2" t="s">
        <v>449</v>
      </c>
    </row>
    <row r="73" spans="1:2" ht="30">
      <c r="A73" s="2" t="s">
        <v>452</v>
      </c>
      <c r="B73" s="2" t="s">
        <v>451</v>
      </c>
    </row>
    <row r="74" spans="1:2" ht="30">
      <c r="A74" s="2" t="s">
        <v>454</v>
      </c>
      <c r="B74" s="2" t="s">
        <v>453</v>
      </c>
    </row>
    <row r="75" spans="1:2" ht="30">
      <c r="A75" s="2" t="s">
        <v>456</v>
      </c>
      <c r="B75" s="2" t="s">
        <v>455</v>
      </c>
    </row>
    <row r="76" spans="1:2" ht="30">
      <c r="A76" s="2" t="s">
        <v>458</v>
      </c>
      <c r="B76" s="2" t="s">
        <v>457</v>
      </c>
    </row>
    <row r="77" spans="1:2" ht="30">
      <c r="A77" s="2" t="s">
        <v>460</v>
      </c>
      <c r="B77" s="2" t="s">
        <v>459</v>
      </c>
    </row>
    <row r="78" spans="1:2" ht="30">
      <c r="A78" s="2" t="s">
        <v>462</v>
      </c>
      <c r="B78" s="2" t="s">
        <v>461</v>
      </c>
    </row>
    <row r="79" spans="1:2" ht="30">
      <c r="A79" s="2" t="s">
        <v>464</v>
      </c>
      <c r="B79" s="2" t="s">
        <v>463</v>
      </c>
    </row>
    <row r="80" spans="1:2" ht="30">
      <c r="A80" s="2" t="s">
        <v>466</v>
      </c>
      <c r="B80" s="2" t="s">
        <v>465</v>
      </c>
    </row>
    <row r="81" spans="1:2" ht="30">
      <c r="A81" s="2" t="s">
        <v>468</v>
      </c>
      <c r="B81" s="2" t="s">
        <v>467</v>
      </c>
    </row>
    <row r="82" spans="1:2" ht="30">
      <c r="A82" s="2" t="s">
        <v>470</v>
      </c>
      <c r="B82" s="2" t="s">
        <v>469</v>
      </c>
    </row>
    <row r="83" spans="1:2" ht="30">
      <c r="A83" s="2" t="s">
        <v>472</v>
      </c>
      <c r="B83" s="2" t="s">
        <v>471</v>
      </c>
    </row>
    <row r="84" spans="1:2" ht="30">
      <c r="A84" s="2" t="s">
        <v>474</v>
      </c>
      <c r="B84" s="2" t="s">
        <v>473</v>
      </c>
    </row>
    <row r="85" spans="1:2" ht="30">
      <c r="A85" s="2" t="s">
        <v>476</v>
      </c>
      <c r="B85" s="2" t="s">
        <v>475</v>
      </c>
    </row>
    <row r="86" spans="1:2" ht="30">
      <c r="A86" s="2" t="s">
        <v>478</v>
      </c>
      <c r="B86" s="2" t="s">
        <v>477</v>
      </c>
    </row>
    <row r="87" spans="1:2" ht="30">
      <c r="A87" s="2" t="s">
        <v>480</v>
      </c>
      <c r="B87" s="2" t="s">
        <v>479</v>
      </c>
    </row>
    <row r="88" spans="1:2" ht="30">
      <c r="A88" s="2" t="s">
        <v>41</v>
      </c>
      <c r="B88" s="2" t="s">
        <v>481</v>
      </c>
    </row>
    <row r="89" spans="1:2" ht="30">
      <c r="A89" s="2" t="s">
        <v>483</v>
      </c>
      <c r="B89" s="2" t="s">
        <v>482</v>
      </c>
    </row>
    <row r="90" spans="1:2" ht="30">
      <c r="A90" s="2" t="s">
        <v>485</v>
      </c>
      <c r="B90" s="2" t="s">
        <v>484</v>
      </c>
    </row>
    <row r="91" spans="1:2" ht="30">
      <c r="A91" s="2" t="s">
        <v>276</v>
      </c>
      <c r="B91" s="2" t="s">
        <v>486</v>
      </c>
    </row>
    <row r="92" spans="1:2" ht="30">
      <c r="A92" s="2" t="s">
        <v>488</v>
      </c>
      <c r="B92" s="2" t="s">
        <v>487</v>
      </c>
    </row>
    <row r="93" spans="1:2" ht="30">
      <c r="A93" s="2" t="s">
        <v>490</v>
      </c>
      <c r="B93" s="2" t="s">
        <v>489</v>
      </c>
    </row>
    <row r="94" spans="1:2" ht="30">
      <c r="A94" s="2" t="s">
        <v>492</v>
      </c>
      <c r="B94" s="2" t="s">
        <v>491</v>
      </c>
    </row>
    <row r="95" spans="1:2" ht="30">
      <c r="A95" s="2" t="s">
        <v>494</v>
      </c>
      <c r="B95" s="2" t="s">
        <v>493</v>
      </c>
    </row>
    <row r="96" spans="1:2" ht="30">
      <c r="A96" s="2" t="s">
        <v>496</v>
      </c>
      <c r="B96" s="2" t="s">
        <v>495</v>
      </c>
    </row>
    <row r="97" spans="1:2" ht="30">
      <c r="A97" s="2" t="s">
        <v>498</v>
      </c>
      <c r="B97" s="2" t="s">
        <v>497</v>
      </c>
    </row>
    <row r="98" spans="1:2" ht="30">
      <c r="A98" s="2" t="s">
        <v>500</v>
      </c>
      <c r="B98" s="2" t="s">
        <v>499</v>
      </c>
    </row>
    <row r="99" spans="1:2" ht="30">
      <c r="A99" s="2" t="s">
        <v>502</v>
      </c>
      <c r="B99" s="2" t="s">
        <v>501</v>
      </c>
    </row>
    <row r="100" spans="1:2" ht="30">
      <c r="A100" s="2" t="s">
        <v>504</v>
      </c>
      <c r="B100" s="2" t="s">
        <v>503</v>
      </c>
    </row>
    <row r="101" spans="1:2" ht="30">
      <c r="A101" s="2" t="s">
        <v>506</v>
      </c>
      <c r="B101" s="2" t="s">
        <v>505</v>
      </c>
    </row>
    <row r="102" spans="1:2" ht="30">
      <c r="A102" s="2" t="s">
        <v>508</v>
      </c>
      <c r="B102" s="2" t="s">
        <v>507</v>
      </c>
    </row>
    <row r="103" spans="1:2" ht="30">
      <c r="A103" s="2" t="s">
        <v>510</v>
      </c>
      <c r="B103" s="2" t="s">
        <v>509</v>
      </c>
    </row>
    <row r="104" spans="1:2" ht="30">
      <c r="A104" s="2" t="s">
        <v>512</v>
      </c>
      <c r="B104" s="2" t="s">
        <v>511</v>
      </c>
    </row>
    <row r="105" spans="1:2" ht="30">
      <c r="A105" s="2" t="s">
        <v>514</v>
      </c>
      <c r="B105" s="2" t="s">
        <v>513</v>
      </c>
    </row>
    <row r="106" spans="1:2" ht="30">
      <c r="A106" s="2" t="s">
        <v>516</v>
      </c>
      <c r="B106" s="2" t="s">
        <v>515</v>
      </c>
    </row>
    <row r="107" spans="1:2" ht="30">
      <c r="A107" s="2" t="s">
        <v>518</v>
      </c>
      <c r="B107" s="2" t="s">
        <v>517</v>
      </c>
    </row>
    <row r="108" spans="1:2" ht="30">
      <c r="A108" s="2" t="s">
        <v>520</v>
      </c>
      <c r="B108" s="2" t="s">
        <v>519</v>
      </c>
    </row>
    <row r="109" spans="1:2" ht="30">
      <c r="A109" s="2" t="s">
        <v>522</v>
      </c>
      <c r="B109" s="2" t="s">
        <v>521</v>
      </c>
    </row>
    <row r="110" spans="1:2" ht="30">
      <c r="A110" s="2" t="s">
        <v>524</v>
      </c>
      <c r="B110" s="2" t="s">
        <v>523</v>
      </c>
    </row>
    <row r="111" spans="1:2" ht="30">
      <c r="A111" s="2" t="s">
        <v>526</v>
      </c>
      <c r="B111" s="2" t="s">
        <v>525</v>
      </c>
    </row>
    <row r="112" spans="1:2" ht="30">
      <c r="A112" s="2" t="s">
        <v>528</v>
      </c>
      <c r="B112" s="2" t="s">
        <v>527</v>
      </c>
    </row>
    <row r="113" spans="1:2" ht="30">
      <c r="A113" s="2" t="s">
        <v>530</v>
      </c>
      <c r="B113" s="2" t="s">
        <v>529</v>
      </c>
    </row>
    <row r="114" spans="1:2" ht="30">
      <c r="A114" s="2" t="s">
        <v>532</v>
      </c>
      <c r="B114" s="2" t="s">
        <v>531</v>
      </c>
    </row>
    <row r="115" spans="1:2" ht="30">
      <c r="A115" s="2" t="s">
        <v>59</v>
      </c>
      <c r="B115" s="2" t="s">
        <v>533</v>
      </c>
    </row>
    <row r="116" spans="1:2" ht="30">
      <c r="A116" s="2" t="s">
        <v>535</v>
      </c>
      <c r="B116" s="2" t="s">
        <v>534</v>
      </c>
    </row>
    <row r="117" spans="1:2" ht="30">
      <c r="A117" s="2" t="s">
        <v>537</v>
      </c>
      <c r="B117" s="2" t="s">
        <v>536</v>
      </c>
    </row>
    <row r="118" spans="1:2" ht="30">
      <c r="A118" s="2" t="s">
        <v>58</v>
      </c>
      <c r="B118" s="2" t="s">
        <v>307</v>
      </c>
    </row>
    <row r="119" spans="1:2" ht="30">
      <c r="A119" s="2" t="s">
        <v>539</v>
      </c>
      <c r="B119" s="2" t="s">
        <v>538</v>
      </c>
    </row>
    <row r="120" spans="1:2" ht="30">
      <c r="A120" s="2" t="s">
        <v>541</v>
      </c>
      <c r="B120" s="2" t="s">
        <v>540</v>
      </c>
    </row>
    <row r="121" spans="1:2" ht="30">
      <c r="A121" s="2" t="s">
        <v>543</v>
      </c>
      <c r="B121" s="2" t="s">
        <v>542</v>
      </c>
    </row>
    <row r="122" spans="1:2" ht="30">
      <c r="A122" s="2" t="s">
        <v>545</v>
      </c>
      <c r="B122" s="2" t="s">
        <v>544</v>
      </c>
    </row>
    <row r="123" spans="1:2" ht="30">
      <c r="A123" s="2" t="s">
        <v>547</v>
      </c>
      <c r="B123" s="2" t="s">
        <v>546</v>
      </c>
    </row>
    <row r="124" spans="1:2" ht="30">
      <c r="A124" s="2" t="s">
        <v>549</v>
      </c>
      <c r="B124" s="2" t="s">
        <v>548</v>
      </c>
    </row>
    <row r="125" spans="1:2" ht="30">
      <c r="A125" s="2" t="s">
        <v>551</v>
      </c>
      <c r="B125" s="2" t="s">
        <v>550</v>
      </c>
    </row>
    <row r="126" spans="1:2" ht="30">
      <c r="A126" s="2" t="s">
        <v>553</v>
      </c>
      <c r="B126" s="2" t="s">
        <v>552</v>
      </c>
    </row>
    <row r="127" spans="1:2" ht="30">
      <c r="A127" s="2" t="s">
        <v>555</v>
      </c>
      <c r="B127" s="2" t="s">
        <v>554</v>
      </c>
    </row>
    <row r="128" spans="1:2" ht="30">
      <c r="A128" s="2" t="s">
        <v>557</v>
      </c>
      <c r="B128" s="2" t="s">
        <v>556</v>
      </c>
    </row>
    <row r="129" spans="1:2" ht="30">
      <c r="A129" s="2" t="s">
        <v>559</v>
      </c>
      <c r="B129" s="2" t="s">
        <v>558</v>
      </c>
    </row>
    <row r="130" spans="1:2" ht="30">
      <c r="A130" s="2" t="s">
        <v>561</v>
      </c>
      <c r="B130" s="2" t="s">
        <v>560</v>
      </c>
    </row>
    <row r="131" spans="1:2" ht="30">
      <c r="A131" s="2" t="s">
        <v>563</v>
      </c>
      <c r="B131" s="2" t="s">
        <v>562</v>
      </c>
    </row>
    <row r="132" spans="1:2" ht="30">
      <c r="A132" s="2" t="s">
        <v>565</v>
      </c>
      <c r="B132" s="2" t="s">
        <v>564</v>
      </c>
    </row>
    <row r="133" spans="1:2" ht="30">
      <c r="A133" s="2" t="s">
        <v>567</v>
      </c>
      <c r="B133" s="2" t="s">
        <v>566</v>
      </c>
    </row>
    <row r="134" spans="1:2" ht="30">
      <c r="A134" s="2" t="s">
        <v>569</v>
      </c>
      <c r="B134" s="2" t="s">
        <v>568</v>
      </c>
    </row>
    <row r="135" spans="1:2" ht="30">
      <c r="A135" s="2" t="s">
        <v>571</v>
      </c>
      <c r="B135" s="2" t="s">
        <v>570</v>
      </c>
    </row>
    <row r="136" spans="1:2" ht="30">
      <c r="A136" s="2" t="s">
        <v>573</v>
      </c>
      <c r="B136" s="2" t="s">
        <v>572</v>
      </c>
    </row>
    <row r="137" spans="1:2" ht="30">
      <c r="A137" s="2" t="s">
        <v>575</v>
      </c>
      <c r="B137" s="2" t="s">
        <v>574</v>
      </c>
    </row>
    <row r="138" spans="1:2" ht="30">
      <c r="A138" s="2" t="s">
        <v>577</v>
      </c>
      <c r="B138" s="2" t="s">
        <v>576</v>
      </c>
    </row>
    <row r="139" spans="1:2" ht="30">
      <c r="A139" s="2" t="s">
        <v>60</v>
      </c>
      <c r="B139" s="2" t="s">
        <v>578</v>
      </c>
    </row>
    <row r="140" spans="1:2" ht="30">
      <c r="A140" s="2" t="s">
        <v>580</v>
      </c>
      <c r="B140" s="2" t="s">
        <v>579</v>
      </c>
    </row>
    <row r="141" spans="1:2" ht="30">
      <c r="A141" s="2" t="s">
        <v>582</v>
      </c>
      <c r="B141" s="2" t="s">
        <v>581</v>
      </c>
    </row>
    <row r="142" spans="1:2" ht="30">
      <c r="A142" s="2" t="s">
        <v>148</v>
      </c>
      <c r="B142" s="2" t="s">
        <v>308</v>
      </c>
    </row>
    <row r="143" spans="1:2" ht="30">
      <c r="A143" s="2" t="s">
        <v>584</v>
      </c>
      <c r="B143" s="2" t="s">
        <v>583</v>
      </c>
    </row>
    <row r="144" spans="1:2" ht="30">
      <c r="A144" s="2" t="s">
        <v>586</v>
      </c>
      <c r="B144" s="2" t="s">
        <v>585</v>
      </c>
    </row>
    <row r="145" spans="1:2" ht="30">
      <c r="A145" s="2" t="s">
        <v>588</v>
      </c>
      <c r="B145" s="2" t="s">
        <v>587</v>
      </c>
    </row>
    <row r="146" spans="1:2" ht="30">
      <c r="A146" s="2" t="s">
        <v>590</v>
      </c>
      <c r="B146" s="2" t="s">
        <v>589</v>
      </c>
    </row>
    <row r="147" spans="1:2" ht="30">
      <c r="A147" s="2" t="s">
        <v>592</v>
      </c>
      <c r="B147" s="2" t="s">
        <v>591</v>
      </c>
    </row>
    <row r="148" spans="1:2" ht="30">
      <c r="A148" s="2" t="s">
        <v>594</v>
      </c>
      <c r="B148" s="2" t="s">
        <v>593</v>
      </c>
    </row>
    <row r="149" spans="1:2" ht="30">
      <c r="A149" s="2" t="s">
        <v>596</v>
      </c>
      <c r="B149" s="2" t="s">
        <v>595</v>
      </c>
    </row>
    <row r="150" spans="1:2" ht="30">
      <c r="A150" s="2" t="s">
        <v>598</v>
      </c>
      <c r="B150" s="2" t="s">
        <v>597</v>
      </c>
    </row>
    <row r="151" spans="1:2" ht="30">
      <c r="A151" s="2" t="s">
        <v>234</v>
      </c>
      <c r="B151" s="2" t="s">
        <v>599</v>
      </c>
    </row>
    <row r="152" spans="1:2" ht="30">
      <c r="A152" s="2" t="s">
        <v>601</v>
      </c>
      <c r="B152" s="2" t="s">
        <v>600</v>
      </c>
    </row>
    <row r="153" spans="1:2" ht="30">
      <c r="A153" s="2" t="s">
        <v>603</v>
      </c>
      <c r="B153" s="2" t="s">
        <v>602</v>
      </c>
    </row>
    <row r="154" spans="1:2" ht="30">
      <c r="A154" s="2" t="s">
        <v>605</v>
      </c>
      <c r="B154" s="2" t="s">
        <v>604</v>
      </c>
    </row>
    <row r="155" spans="1:2" ht="30">
      <c r="A155" s="2" t="s">
        <v>607</v>
      </c>
      <c r="B155" s="2" t="s">
        <v>606</v>
      </c>
    </row>
    <row r="156" spans="1:2" ht="30">
      <c r="A156" s="2" t="s">
        <v>609</v>
      </c>
      <c r="B156" s="2" t="s">
        <v>608</v>
      </c>
    </row>
    <row r="157" spans="1:2" ht="30">
      <c r="A157" s="2" t="s">
        <v>611</v>
      </c>
      <c r="B157" s="2" t="s">
        <v>610</v>
      </c>
    </row>
    <row r="158" spans="1:2" ht="30">
      <c r="A158" s="2" t="s">
        <v>613</v>
      </c>
      <c r="B158" s="2" t="s">
        <v>612</v>
      </c>
    </row>
    <row r="159" spans="1:2" ht="30">
      <c r="A159" s="2" t="s">
        <v>615</v>
      </c>
      <c r="B159" s="2" t="s">
        <v>614</v>
      </c>
    </row>
    <row r="160" spans="1:2" ht="30">
      <c r="A160" s="2" t="s">
        <v>617</v>
      </c>
      <c r="B160" s="2" t="s">
        <v>616</v>
      </c>
    </row>
    <row r="161" spans="1:2" ht="30">
      <c r="A161" s="2" t="s">
        <v>158</v>
      </c>
      <c r="B161" s="2" t="s">
        <v>310</v>
      </c>
    </row>
    <row r="162" spans="1:2" ht="30">
      <c r="A162" s="2" t="s">
        <v>619</v>
      </c>
      <c r="B162" s="2" t="s">
        <v>618</v>
      </c>
    </row>
    <row r="163" spans="1:2" ht="30">
      <c r="A163" s="2" t="s">
        <v>621</v>
      </c>
      <c r="B163" s="2" t="s">
        <v>620</v>
      </c>
    </row>
    <row r="164" spans="1:2" ht="30">
      <c r="A164" s="2" t="s">
        <v>623</v>
      </c>
      <c r="B164" s="2" t="s">
        <v>622</v>
      </c>
    </row>
    <row r="165" spans="1:2" ht="30">
      <c r="A165" s="2" t="s">
        <v>625</v>
      </c>
      <c r="B165" s="2" t="s">
        <v>624</v>
      </c>
    </row>
    <row r="166" spans="1:2" ht="30">
      <c r="A166" s="2" t="s">
        <v>627</v>
      </c>
      <c r="B166" s="2" t="s">
        <v>626</v>
      </c>
    </row>
    <row r="167" spans="1:2" ht="30">
      <c r="A167" s="2" t="s">
        <v>629</v>
      </c>
      <c r="B167" s="2" t="s">
        <v>628</v>
      </c>
    </row>
    <row r="168" spans="1:2" ht="30">
      <c r="A168" s="2" t="s">
        <v>631</v>
      </c>
      <c r="B168" s="2" t="s">
        <v>630</v>
      </c>
    </row>
    <row r="169" spans="1:2" ht="30">
      <c r="A169" s="2" t="s">
        <v>633</v>
      </c>
      <c r="B169" s="2" t="s">
        <v>632</v>
      </c>
    </row>
    <row r="170" spans="1:2" ht="30">
      <c r="A170" s="2" t="s">
        <v>635</v>
      </c>
      <c r="B170" s="2" t="s">
        <v>634</v>
      </c>
    </row>
    <row r="171" spans="1:2" ht="30">
      <c r="A171" s="2" t="s">
        <v>637</v>
      </c>
      <c r="B171" s="2" t="s">
        <v>636</v>
      </c>
    </row>
    <row r="172" spans="1:2" ht="30">
      <c r="A172" s="2" t="s">
        <v>639</v>
      </c>
      <c r="B172" s="2" t="s">
        <v>638</v>
      </c>
    </row>
    <row r="173" spans="1:2" ht="30">
      <c r="A173" s="2" t="s">
        <v>641</v>
      </c>
      <c r="B173" s="2" t="s">
        <v>640</v>
      </c>
    </row>
    <row r="174" spans="1:2" ht="30">
      <c r="A174" s="2" t="s">
        <v>643</v>
      </c>
      <c r="B174" s="2" t="s">
        <v>642</v>
      </c>
    </row>
    <row r="175" spans="1:2" ht="30">
      <c r="A175" s="2" t="s">
        <v>206</v>
      </c>
      <c r="B175" s="2" t="s">
        <v>644</v>
      </c>
    </row>
    <row r="176" spans="1:2" ht="30">
      <c r="A176" s="2" t="s">
        <v>646</v>
      </c>
      <c r="B176" s="2" t="s">
        <v>645</v>
      </c>
    </row>
    <row r="177" spans="1:2" ht="30">
      <c r="A177" s="2" t="s">
        <v>648</v>
      </c>
      <c r="B177" s="2" t="s">
        <v>647</v>
      </c>
    </row>
    <row r="178" spans="1:2" ht="30">
      <c r="A178" s="2" t="s">
        <v>650</v>
      </c>
      <c r="B178" s="2" t="s">
        <v>649</v>
      </c>
    </row>
    <row r="179" spans="1:2" ht="30">
      <c r="A179" s="2" t="s">
        <v>652</v>
      </c>
      <c r="B179" s="2" t="s">
        <v>651</v>
      </c>
    </row>
    <row r="180" spans="1:2" ht="30">
      <c r="A180" s="2" t="s">
        <v>654</v>
      </c>
      <c r="B180" s="2" t="s">
        <v>653</v>
      </c>
    </row>
    <row r="181" spans="1:2" ht="30">
      <c r="A181" s="2" t="s">
        <v>656</v>
      </c>
      <c r="B181" s="2" t="s">
        <v>655</v>
      </c>
    </row>
    <row r="182" spans="1:2" ht="30">
      <c r="A182" s="2" t="s">
        <v>658</v>
      </c>
      <c r="B182" s="2" t="s">
        <v>657</v>
      </c>
    </row>
    <row r="183" spans="1:2" ht="30">
      <c r="A183" s="2" t="s">
        <v>660</v>
      </c>
      <c r="B183" s="2" t="s">
        <v>659</v>
      </c>
    </row>
    <row r="184" spans="1:2" ht="30">
      <c r="A184" s="2" t="s">
        <v>662</v>
      </c>
      <c r="B184" s="2" t="s">
        <v>661</v>
      </c>
    </row>
    <row r="185" spans="1:2" ht="30">
      <c r="A185" s="2" t="s">
        <v>664</v>
      </c>
      <c r="B185" s="2" t="s">
        <v>663</v>
      </c>
    </row>
    <row r="186" spans="1:2" ht="30">
      <c r="A186" s="2" t="s">
        <v>666</v>
      </c>
      <c r="B186" s="2" t="s">
        <v>665</v>
      </c>
    </row>
    <row r="187" spans="1:2" ht="30">
      <c r="A187" s="2" t="s">
        <v>668</v>
      </c>
      <c r="B187" s="2" t="s">
        <v>667</v>
      </c>
    </row>
    <row r="188" spans="1:2" ht="30">
      <c r="A188" s="2" t="s">
        <v>670</v>
      </c>
      <c r="B188" s="2" t="s">
        <v>669</v>
      </c>
    </row>
    <row r="189" spans="1:2" ht="30">
      <c r="A189" s="2" t="s">
        <v>171</v>
      </c>
      <c r="B189" s="2" t="s">
        <v>311</v>
      </c>
    </row>
    <row r="190" spans="1:2" ht="30">
      <c r="A190" s="2" t="s">
        <v>672</v>
      </c>
      <c r="B190" s="2" t="s">
        <v>671</v>
      </c>
    </row>
    <row r="191" spans="1:2" ht="30">
      <c r="A191" s="2" t="s">
        <v>674</v>
      </c>
      <c r="B191" s="2" t="s">
        <v>673</v>
      </c>
    </row>
    <row r="192" spans="1:2" ht="30">
      <c r="A192" s="2" t="s">
        <v>676</v>
      </c>
      <c r="B192" s="2" t="s">
        <v>675</v>
      </c>
    </row>
    <row r="193" spans="1:2" ht="30">
      <c r="A193" s="2" t="s">
        <v>678</v>
      </c>
      <c r="B193" s="2" t="s">
        <v>677</v>
      </c>
    </row>
    <row r="194" spans="1:2" ht="30">
      <c r="A194" s="2" t="s">
        <v>680</v>
      </c>
      <c r="B194" s="2" t="s">
        <v>679</v>
      </c>
    </row>
    <row r="195" spans="1:2" ht="30">
      <c r="A195" s="2" t="s">
        <v>682</v>
      </c>
      <c r="B195" s="2" t="s">
        <v>681</v>
      </c>
    </row>
    <row r="196" spans="1:2" ht="30">
      <c r="A196" s="2" t="s">
        <v>684</v>
      </c>
      <c r="B196" s="2" t="s">
        <v>683</v>
      </c>
    </row>
    <row r="197" spans="1:2" ht="30">
      <c r="A197" s="2" t="s">
        <v>686</v>
      </c>
      <c r="B197" s="2" t="s">
        <v>685</v>
      </c>
    </row>
    <row r="198" spans="1:2" ht="30">
      <c r="A198" s="2" t="s">
        <v>227</v>
      </c>
      <c r="B198" s="2" t="s">
        <v>687</v>
      </c>
    </row>
    <row r="199" spans="1:2" ht="30">
      <c r="A199" s="2" t="s">
        <v>689</v>
      </c>
      <c r="B199" s="2" t="s">
        <v>688</v>
      </c>
    </row>
    <row r="200" spans="1:2" ht="30">
      <c r="A200" s="2" t="s">
        <v>691</v>
      </c>
      <c r="B200" s="2" t="s">
        <v>690</v>
      </c>
    </row>
    <row r="201" spans="1:2" ht="30">
      <c r="A201" s="2" t="s">
        <v>75</v>
      </c>
      <c r="B201" s="2" t="s">
        <v>692</v>
      </c>
    </row>
    <row r="202" spans="1:2" ht="30">
      <c r="A202" s="2" t="s">
        <v>694</v>
      </c>
      <c r="B202" s="2" t="s">
        <v>693</v>
      </c>
    </row>
    <row r="203" spans="1:2" ht="30">
      <c r="A203" s="2" t="s">
        <v>696</v>
      </c>
      <c r="B203" s="2" t="s">
        <v>695</v>
      </c>
    </row>
    <row r="204" spans="1:2" ht="30">
      <c r="A204" s="2" t="s">
        <v>97</v>
      </c>
      <c r="B204" s="2" t="s">
        <v>697</v>
      </c>
    </row>
    <row r="205" spans="1:2" ht="30">
      <c r="A205" s="2" t="s">
        <v>699</v>
      </c>
      <c r="B205" s="2" t="s">
        <v>698</v>
      </c>
    </row>
    <row r="206" spans="1:2" ht="30">
      <c r="A206" s="2" t="s">
        <v>701</v>
      </c>
      <c r="B206" s="2" t="s">
        <v>700</v>
      </c>
    </row>
    <row r="207" spans="1:2" ht="30">
      <c r="A207" s="2" t="s">
        <v>703</v>
      </c>
      <c r="B207" s="2" t="s">
        <v>702</v>
      </c>
    </row>
    <row r="208" spans="1:2" ht="30">
      <c r="A208" s="2" t="s">
        <v>705</v>
      </c>
      <c r="B208" s="2" t="s">
        <v>704</v>
      </c>
    </row>
    <row r="209" spans="1:2" ht="30">
      <c r="A209" s="2" t="s">
        <v>269</v>
      </c>
      <c r="B209" s="2" t="s">
        <v>706</v>
      </c>
    </row>
    <row r="210" spans="1:2" ht="30">
      <c r="A210" s="2" t="s">
        <v>708</v>
      </c>
      <c r="B210" s="2" t="s">
        <v>707</v>
      </c>
    </row>
    <row r="211" spans="1:2" ht="30">
      <c r="A211" s="2" t="s">
        <v>710</v>
      </c>
      <c r="B211" s="2" t="s">
        <v>709</v>
      </c>
    </row>
    <row r="212" spans="1:2" ht="30">
      <c r="A212" s="2" t="s">
        <v>712</v>
      </c>
      <c r="B212" s="2" t="s">
        <v>711</v>
      </c>
    </row>
    <row r="213" spans="1:2" ht="30">
      <c r="A213" s="2" t="s">
        <v>714</v>
      </c>
      <c r="B213" s="2" t="s">
        <v>713</v>
      </c>
    </row>
    <row r="214" spans="1:2" ht="30">
      <c r="A214" s="2" t="s">
        <v>716</v>
      </c>
      <c r="B214" s="2" t="s">
        <v>715</v>
      </c>
    </row>
    <row r="215" spans="1:2" ht="30">
      <c r="A215" s="2" t="s">
        <v>718</v>
      </c>
      <c r="B215" s="2" t="s">
        <v>717</v>
      </c>
    </row>
    <row r="216" spans="1:2" ht="30">
      <c r="A216" s="2" t="s">
        <v>720</v>
      </c>
      <c r="B216" s="2" t="s">
        <v>719</v>
      </c>
    </row>
    <row r="217" spans="1:2" ht="30">
      <c r="A217" s="2" t="s">
        <v>722</v>
      </c>
      <c r="B217" s="2" t="s">
        <v>721</v>
      </c>
    </row>
    <row r="218" spans="1:2" ht="30">
      <c r="A218" s="2" t="s">
        <v>724</v>
      </c>
      <c r="B218" s="2" t="s">
        <v>723</v>
      </c>
    </row>
    <row r="219" spans="1:2" ht="30">
      <c r="A219" s="2" t="s">
        <v>726</v>
      </c>
      <c r="B219" s="2" t="s">
        <v>725</v>
      </c>
    </row>
    <row r="220" spans="1:2" ht="30">
      <c r="A220" s="2" t="s">
        <v>728</v>
      </c>
      <c r="B220" s="2" t="s">
        <v>727</v>
      </c>
    </row>
    <row r="221" spans="1:2" ht="30">
      <c r="A221" s="2" t="s">
        <v>730</v>
      </c>
      <c r="B221" s="2" t="s">
        <v>729</v>
      </c>
    </row>
    <row r="222" spans="1:2" ht="30">
      <c r="A222" s="2" t="s">
        <v>732</v>
      </c>
      <c r="B222" s="2" t="s">
        <v>731</v>
      </c>
    </row>
    <row r="223" spans="1:2" ht="30">
      <c r="A223" s="2" t="s">
        <v>734</v>
      </c>
      <c r="B223" s="2" t="s">
        <v>733</v>
      </c>
    </row>
    <row r="224" spans="1:2" ht="30">
      <c r="A224" s="2" t="s">
        <v>96</v>
      </c>
      <c r="B224" s="2" t="s">
        <v>735</v>
      </c>
    </row>
    <row r="225" spans="1:2" ht="30">
      <c r="A225" s="2" t="s">
        <v>737</v>
      </c>
      <c r="B225" s="2" t="s">
        <v>736</v>
      </c>
    </row>
    <row r="226" spans="1:2" ht="30">
      <c r="A226" s="2" t="s">
        <v>739</v>
      </c>
      <c r="B226" s="2" t="s">
        <v>738</v>
      </c>
    </row>
    <row r="227" spans="1:2" ht="30">
      <c r="A227" s="2" t="s">
        <v>741</v>
      </c>
      <c r="B227" s="2" t="s">
        <v>740</v>
      </c>
    </row>
    <row r="228" spans="1:2" ht="30">
      <c r="A228" s="2" t="s">
        <v>18</v>
      </c>
      <c r="B228" s="2" t="s">
        <v>742</v>
      </c>
    </row>
    <row r="229" spans="1:2" ht="30">
      <c r="A229" s="2" t="s">
        <v>744</v>
      </c>
      <c r="B229" s="2" t="s">
        <v>743</v>
      </c>
    </row>
    <row r="230" spans="1:2" ht="30">
      <c r="A230" s="2" t="s">
        <v>746</v>
      </c>
      <c r="B230" s="2" t="s">
        <v>745</v>
      </c>
    </row>
    <row r="231" spans="1:2" ht="30">
      <c r="A231" s="2" t="s">
        <v>748</v>
      </c>
      <c r="B231" s="2" t="s">
        <v>747</v>
      </c>
    </row>
    <row r="232" spans="1:2" ht="30">
      <c r="A232" s="2" t="s">
        <v>750</v>
      </c>
      <c r="B232" s="2" t="s">
        <v>749</v>
      </c>
    </row>
    <row r="233" spans="1:2" ht="30">
      <c r="A233" s="2" t="s">
        <v>155</v>
      </c>
      <c r="B233" s="2" t="s">
        <v>309</v>
      </c>
    </row>
    <row r="234" spans="1:2" ht="30">
      <c r="A234" s="2" t="s">
        <v>752</v>
      </c>
      <c r="B234" s="2" t="s">
        <v>751</v>
      </c>
    </row>
    <row r="235" spans="1:2" ht="30">
      <c r="A235" s="2" t="s">
        <v>754</v>
      </c>
      <c r="B235" s="2" t="s">
        <v>753</v>
      </c>
    </row>
    <row r="236" spans="1:2" ht="30">
      <c r="A236" s="2" t="s">
        <v>756</v>
      </c>
      <c r="B236" s="2" t="s">
        <v>755</v>
      </c>
    </row>
    <row r="237" spans="1:2" ht="30">
      <c r="A237" s="2" t="s">
        <v>758</v>
      </c>
      <c r="B237" s="2" t="s">
        <v>757</v>
      </c>
    </row>
    <row r="238" spans="1:2" ht="30">
      <c r="A238" s="2" t="s">
        <v>760</v>
      </c>
      <c r="B238" s="2" t="s">
        <v>759</v>
      </c>
    </row>
    <row r="239" spans="1:2" ht="30">
      <c r="A239" s="2" t="s">
        <v>762</v>
      </c>
      <c r="B239" s="2" t="s">
        <v>761</v>
      </c>
    </row>
    <row r="240" spans="1:2" ht="30">
      <c r="A240" s="2" t="s">
        <v>764</v>
      </c>
      <c r="B240" s="2" t="s">
        <v>763</v>
      </c>
    </row>
    <row r="241" spans="1:2" ht="30">
      <c r="A241" s="2" t="s">
        <v>766</v>
      </c>
      <c r="B241" s="2" t="s">
        <v>765</v>
      </c>
    </row>
    <row r="242" spans="1:2" ht="30">
      <c r="A242" s="2" t="s">
        <v>768</v>
      </c>
      <c r="B242" s="2" t="s">
        <v>767</v>
      </c>
    </row>
    <row r="243" spans="1:2" ht="30">
      <c r="A243" s="2" t="s">
        <v>770</v>
      </c>
      <c r="B243" s="2" t="s">
        <v>769</v>
      </c>
    </row>
    <row r="244" spans="1:2" ht="30">
      <c r="A244" s="2" t="s">
        <v>772</v>
      </c>
      <c r="B244" s="2" t="s">
        <v>771</v>
      </c>
    </row>
    <row r="245" spans="1:2" ht="30">
      <c r="A245" s="2" t="s">
        <v>774</v>
      </c>
      <c r="B245" s="2" t="s">
        <v>773</v>
      </c>
    </row>
    <row r="246" spans="1:2" ht="30">
      <c r="A246" s="2" t="s">
        <v>776</v>
      </c>
      <c r="B246" s="2" t="s">
        <v>775</v>
      </c>
    </row>
    <row r="247" spans="1:2" ht="30">
      <c r="A247" s="2" t="s">
        <v>778</v>
      </c>
      <c r="B247" s="2" t="s">
        <v>777</v>
      </c>
    </row>
    <row r="248" spans="1:2" ht="30">
      <c r="A248" s="2" t="s">
        <v>780</v>
      </c>
      <c r="B248" s="2" t="s">
        <v>779</v>
      </c>
    </row>
    <row r="249" spans="1:2" ht="30">
      <c r="A249" s="2" t="s">
        <v>782</v>
      </c>
      <c r="B249" s="2" t="s">
        <v>781</v>
      </c>
    </row>
    <row r="250" spans="1:2" ht="30">
      <c r="A250" s="2" t="s">
        <v>74</v>
      </c>
      <c r="B250" s="2" t="s">
        <v>783</v>
      </c>
    </row>
    <row r="251" spans="1:2" ht="30">
      <c r="A251" s="2" t="s">
        <v>785</v>
      </c>
      <c r="B251" s="2" t="s">
        <v>784</v>
      </c>
    </row>
    <row r="252" spans="1:2" ht="30">
      <c r="A252" s="2" t="s">
        <v>787</v>
      </c>
      <c r="B252" s="2" t="s">
        <v>786</v>
      </c>
    </row>
    <row r="253" spans="1:2" ht="30">
      <c r="A253" s="2" t="s">
        <v>789</v>
      </c>
      <c r="B253" s="2" t="s">
        <v>788</v>
      </c>
    </row>
    <row r="254" spans="1:2" ht="30">
      <c r="A254" s="2" t="s">
        <v>791</v>
      </c>
      <c r="B254" s="2" t="s">
        <v>790</v>
      </c>
    </row>
    <row r="255" spans="1:2" ht="30">
      <c r="A255" s="2" t="s">
        <v>793</v>
      </c>
      <c r="B255" s="2" t="s">
        <v>792</v>
      </c>
    </row>
    <row r="256" spans="1:2" ht="30">
      <c r="A256" s="2" t="s">
        <v>795</v>
      </c>
      <c r="B256" s="2" t="s">
        <v>794</v>
      </c>
    </row>
    <row r="257" spans="1:2" ht="30">
      <c r="A257" s="2" t="s">
        <v>111</v>
      </c>
      <c r="B257" s="2" t="s">
        <v>306</v>
      </c>
    </row>
    <row r="258" spans="1:2" ht="30">
      <c r="A258" s="2" t="s">
        <v>797</v>
      </c>
      <c r="B258" s="2" t="s">
        <v>796</v>
      </c>
    </row>
    <row r="259" spans="1:2" ht="30">
      <c r="A259" s="2" t="s">
        <v>799</v>
      </c>
      <c r="B259" s="2" t="s">
        <v>798</v>
      </c>
    </row>
    <row r="260" spans="1:2" ht="30">
      <c r="A260" s="2" t="s">
        <v>801</v>
      </c>
      <c r="B260" s="2" t="s">
        <v>800</v>
      </c>
    </row>
    <row r="261" spans="1:2" ht="30">
      <c r="A261" s="2" t="s">
        <v>803</v>
      </c>
      <c r="B261" s="2" t="s">
        <v>802</v>
      </c>
    </row>
    <row r="262" spans="1:2" ht="30">
      <c r="A262" s="2" t="s">
        <v>251</v>
      </c>
      <c r="B262" s="2" t="s">
        <v>804</v>
      </c>
    </row>
    <row r="263" spans="1:2" ht="30">
      <c r="A263" s="2" t="s">
        <v>806</v>
      </c>
      <c r="B263" s="2" t="s">
        <v>805</v>
      </c>
    </row>
    <row r="264" spans="1:2" ht="30">
      <c r="A264" s="2" t="s">
        <v>808</v>
      </c>
      <c r="B264" s="2" t="s">
        <v>807</v>
      </c>
    </row>
    <row r="265" spans="1:2" ht="30">
      <c r="A265" s="2" t="s">
        <v>810</v>
      </c>
      <c r="B265" s="2" t="s">
        <v>809</v>
      </c>
    </row>
    <row r="266" spans="1:2" ht="30">
      <c r="A266" s="2" t="s">
        <v>812</v>
      </c>
      <c r="B266" s="2" t="s">
        <v>811</v>
      </c>
    </row>
    <row r="267" spans="1:2" ht="30">
      <c r="A267" s="2" t="s">
        <v>814</v>
      </c>
      <c r="B267" s="2" t="s">
        <v>813</v>
      </c>
    </row>
    <row r="268" spans="1:2" ht="30">
      <c r="A268" s="2" t="s">
        <v>816</v>
      </c>
      <c r="B268" s="2" t="s">
        <v>815</v>
      </c>
    </row>
    <row r="269" spans="1:2" ht="30">
      <c r="A269" s="2" t="s">
        <v>818</v>
      </c>
      <c r="B269" s="2" t="s">
        <v>817</v>
      </c>
    </row>
    <row r="270" spans="1:2" ht="30">
      <c r="A270" s="2" t="s">
        <v>820</v>
      </c>
      <c r="B270" s="2" t="s">
        <v>819</v>
      </c>
    </row>
    <row r="271" spans="1:2" ht="30">
      <c r="A271" s="2" t="s">
        <v>822</v>
      </c>
      <c r="B271" s="2" t="s">
        <v>821</v>
      </c>
    </row>
    <row r="272" spans="1:2" ht="30">
      <c r="A272" s="2" t="s">
        <v>824</v>
      </c>
      <c r="B272" s="2" t="s">
        <v>823</v>
      </c>
    </row>
    <row r="273" spans="1:2" ht="30">
      <c r="A273" s="2" t="s">
        <v>826</v>
      </c>
      <c r="B273" s="2" t="s">
        <v>825</v>
      </c>
    </row>
    <row r="274" spans="1:2" ht="30">
      <c r="A274" s="2" t="s">
        <v>828</v>
      </c>
      <c r="B274" s="2" t="s">
        <v>827</v>
      </c>
    </row>
    <row r="275" spans="1:2" ht="30">
      <c r="A275" s="2" t="s">
        <v>830</v>
      </c>
      <c r="B275" s="2" t="s">
        <v>829</v>
      </c>
    </row>
    <row r="276" spans="1:2" ht="30">
      <c r="A276" s="2" t="s">
        <v>832</v>
      </c>
      <c r="B276" s="2" t="s">
        <v>831</v>
      </c>
    </row>
    <row r="277" spans="1:2" ht="30">
      <c r="A277" s="2" t="s">
        <v>834</v>
      </c>
      <c r="B277" s="2" t="s">
        <v>833</v>
      </c>
    </row>
    <row r="278" spans="1:2" ht="30">
      <c r="A278" s="2" t="s">
        <v>836</v>
      </c>
      <c r="B278" s="2" t="s">
        <v>835</v>
      </c>
    </row>
    <row r="279" spans="1:2" ht="30">
      <c r="A279" s="2" t="s">
        <v>838</v>
      </c>
      <c r="B279" s="2" t="s">
        <v>837</v>
      </c>
    </row>
    <row r="280" spans="1:2" ht="30">
      <c r="A280" s="2" t="s">
        <v>840</v>
      </c>
      <c r="B280" s="2" t="s">
        <v>839</v>
      </c>
    </row>
    <row r="281" spans="1:2" ht="30">
      <c r="A281" s="2" t="s">
        <v>842</v>
      </c>
      <c r="B281" s="2" t="s">
        <v>841</v>
      </c>
    </row>
    <row r="282" spans="1:2" ht="30">
      <c r="A282" s="2" t="s">
        <v>844</v>
      </c>
      <c r="B282" s="2" t="s">
        <v>843</v>
      </c>
    </row>
    <row r="283" spans="1:2" ht="30">
      <c r="A283" s="2" t="s">
        <v>846</v>
      </c>
      <c r="B283" s="2" t="s">
        <v>845</v>
      </c>
    </row>
    <row r="284" spans="1:2" ht="30">
      <c r="A284" s="2" t="s">
        <v>848</v>
      </c>
      <c r="B284" s="2" t="s">
        <v>847</v>
      </c>
    </row>
    <row r="285" spans="1:2" ht="30">
      <c r="A285" s="2" t="s">
        <v>850</v>
      </c>
      <c r="B285" s="2" t="s">
        <v>849</v>
      </c>
    </row>
    <row r="286" spans="1:2" ht="30">
      <c r="A286" s="2" t="s">
        <v>852</v>
      </c>
      <c r="B286" s="2" t="s">
        <v>851</v>
      </c>
    </row>
    <row r="287" spans="1:2" ht="30">
      <c r="A287" s="2" t="s">
        <v>854</v>
      </c>
      <c r="B287" s="2" t="s">
        <v>853</v>
      </c>
    </row>
    <row r="288" spans="1:2" ht="30">
      <c r="A288" s="2" t="s">
        <v>856</v>
      </c>
      <c r="B288" s="2" t="s">
        <v>855</v>
      </c>
    </row>
    <row r="289" spans="1:2" ht="30">
      <c r="A289" s="2" t="s">
        <v>858</v>
      </c>
      <c r="B289" s="2" t="s">
        <v>857</v>
      </c>
    </row>
    <row r="290" spans="1:2" ht="30">
      <c r="A290" s="2" t="s">
        <v>860</v>
      </c>
      <c r="B290" s="2" t="s">
        <v>859</v>
      </c>
    </row>
    <row r="291" spans="1:2" ht="30">
      <c r="A291" s="2" t="s">
        <v>862</v>
      </c>
      <c r="B291" s="2" t="s">
        <v>861</v>
      </c>
    </row>
    <row r="292" spans="1:2" ht="30">
      <c r="A292" s="2" t="s">
        <v>864</v>
      </c>
      <c r="B292" s="2" t="s">
        <v>863</v>
      </c>
    </row>
    <row r="293" spans="1:2" ht="30">
      <c r="A293" s="2" t="s">
        <v>866</v>
      </c>
      <c r="B293" s="2" t="s">
        <v>865</v>
      </c>
    </row>
    <row r="294" spans="1:2" ht="30">
      <c r="A294" s="2" t="s">
        <v>17</v>
      </c>
      <c r="B294" s="2" t="s">
        <v>867</v>
      </c>
    </row>
    <row r="295" spans="1:2" ht="30">
      <c r="A295" s="2" t="s">
        <v>869</v>
      </c>
      <c r="B295" s="2" t="s">
        <v>868</v>
      </c>
    </row>
    <row r="296" spans="1:2" ht="30">
      <c r="A296" s="2" t="s">
        <v>871</v>
      </c>
      <c r="B296" s="2" t="s">
        <v>870</v>
      </c>
    </row>
    <row r="297" spans="1:2" ht="30">
      <c r="A297" s="2" t="s">
        <v>873</v>
      </c>
      <c r="B297" s="2" t="s">
        <v>872</v>
      </c>
    </row>
    <row r="298" spans="1:2" ht="30">
      <c r="A298" s="2" t="s">
        <v>875</v>
      </c>
      <c r="B298" s="2" t="s">
        <v>874</v>
      </c>
    </row>
    <row r="299" spans="1:2" ht="30">
      <c r="A299" s="2" t="s">
        <v>877</v>
      </c>
      <c r="B299" s="2" t="s">
        <v>876</v>
      </c>
    </row>
    <row r="300" spans="1:2" ht="30">
      <c r="A300" s="2" t="s">
        <v>879</v>
      </c>
      <c r="B300" s="2" t="s">
        <v>878</v>
      </c>
    </row>
    <row r="301" spans="1:2" ht="30">
      <c r="A301" s="2" t="s">
        <v>102</v>
      </c>
      <c r="B301" s="2" t="s">
        <v>880</v>
      </c>
    </row>
    <row r="302" spans="1:2" ht="30">
      <c r="A302" s="2" t="s">
        <v>882</v>
      </c>
      <c r="B302" s="2" t="s">
        <v>881</v>
      </c>
    </row>
    <row r="303" spans="1:2" ht="30">
      <c r="A303" s="2" t="s">
        <v>884</v>
      </c>
      <c r="B303" s="2" t="s">
        <v>883</v>
      </c>
    </row>
    <row r="304" spans="1:2" ht="30">
      <c r="A304" s="2" t="s">
        <v>886</v>
      </c>
      <c r="B304" s="2" t="s">
        <v>885</v>
      </c>
    </row>
    <row r="305" spans="1:2" ht="30">
      <c r="A305" s="2" t="s">
        <v>61</v>
      </c>
      <c r="B305" s="2" t="s">
        <v>887</v>
      </c>
    </row>
    <row r="306" spans="1:2" ht="30">
      <c r="A306" s="2" t="s">
        <v>889</v>
      </c>
      <c r="B306" s="2" t="s">
        <v>888</v>
      </c>
    </row>
    <row r="307" spans="1:2" ht="30">
      <c r="A307" s="2" t="s">
        <v>891</v>
      </c>
      <c r="B307" s="2" t="s">
        <v>890</v>
      </c>
    </row>
    <row r="308" spans="1:2" ht="30">
      <c r="A308" s="2" t="s">
        <v>893</v>
      </c>
      <c r="B308" s="2" t="s">
        <v>892</v>
      </c>
    </row>
    <row r="309" spans="1:2" ht="30">
      <c r="A309" s="2" t="s">
        <v>895</v>
      </c>
      <c r="B309" s="2" t="s">
        <v>894</v>
      </c>
    </row>
    <row r="310" spans="1:2" ht="30">
      <c r="A310" s="2" t="s">
        <v>266</v>
      </c>
      <c r="B310" s="2" t="s">
        <v>896</v>
      </c>
    </row>
    <row r="311" spans="1:2" ht="30">
      <c r="A311" s="2" t="s">
        <v>898</v>
      </c>
      <c r="B311" s="2" t="s">
        <v>897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ReportInwardDirect06-15-202411_</vt:lpstr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MaaInfosoft</dc:creator>
  <cp:lastModifiedBy>MaaInfosoft</cp:lastModifiedBy>
  <dcterms:created xsi:type="dcterms:W3CDTF">2024-06-15T05:56:24Z</dcterms:created>
  <dcterms:modified xsi:type="dcterms:W3CDTF">2024-06-15T09:42:01Z</dcterms:modified>
</cp:coreProperties>
</file>